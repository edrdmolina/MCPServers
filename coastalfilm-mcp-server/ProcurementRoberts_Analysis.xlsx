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order Analysis" sheetId="1" state="visible" r:id="rId3"/>
    <sheet name="Priority Reor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<sst xmlns="http://schemas.openxmlformats.org/spreadsheetml/2006/main" count="504" uniqueCount="207">
  <si>
    <t xml:space="preserve">Vendor</t>
  </si>
  <si>
    <t xml:space="preserve">SKU</t>
  </si>
  <si>
    <t xml:space="preserve">Product</t>
  </si>
  <si>
    <t xml:space="preserve">Current Stock</t>
  </si>
  <si>
    <t xml:space="preserve">Units Sold (30d)</t>
  </si>
  <si>
    <t xml:space="preserve">Weekly Velocity</t>
  </si>
  <si>
    <t xml:space="preserve">Monthly Velocity</t>
  </si>
  <si>
    <t xml:space="preserve">Weeks of Stock Left</t>
  </si>
  <si>
    <t xml:space="preserve">Suggested Monthly Order</t>
  </si>
  <si>
    <t xml:space="preserve">Unit Cost</t>
  </si>
  <si>
    <t xml:space="preserve">Monthly Order Cost</t>
  </si>
  <si>
    <t xml:space="preserve">Stock Status</t>
  </si>
  <si>
    <t xml:space="preserve">KODAK</t>
  </si>
  <si>
    <t xml:space="preserve">7517667</t>
  </si>
  <si>
    <t xml:space="preserve">KODACOLOR 100 35mm</t>
  </si>
  <si>
    <t xml:space="preserve">OK</t>
  </si>
  <si>
    <t xml:space="preserve">7517675</t>
  </si>
  <si>
    <t xml:space="preserve">KODACOLOR 200 35mm</t>
  </si>
  <si>
    <t xml:space="preserve">CRITICAL - Reorder Now</t>
  </si>
  <si>
    <t xml:space="preserve">6031470</t>
  </si>
  <si>
    <t xml:space="preserve">COLORPLUS 200 35mm</t>
  </si>
  <si>
    <t xml:space="preserve">No sales</t>
  </si>
  <si>
    <t xml:space="preserve">Out of Stock</t>
  </si>
  <si>
    <t xml:space="preserve">7518566</t>
  </si>
  <si>
    <t xml:space="preserve">Ektar 100 120 propack 5</t>
  </si>
  <si>
    <t xml:space="preserve">7518525</t>
  </si>
  <si>
    <t xml:space="preserve">Ektar 100 35mm</t>
  </si>
  <si>
    <t xml:space="preserve">8617763</t>
  </si>
  <si>
    <t xml:space="preserve">FUN SAVER Disposable 27exp</t>
  </si>
  <si>
    <t xml:space="preserve">Low - Reorder Soon</t>
  </si>
  <si>
    <t xml:space="preserve">7518418</t>
  </si>
  <si>
    <t xml:space="preserve">GOLD 120 Propack 5</t>
  </si>
  <si>
    <t xml:space="preserve">7518251</t>
  </si>
  <si>
    <t xml:space="preserve">Gold 200 35mm</t>
  </si>
  <si>
    <t xml:space="preserve">1808674</t>
  </si>
  <si>
    <t xml:space="preserve">PORTRA 160 120 propack 5</t>
  </si>
  <si>
    <t xml:space="preserve">6031959</t>
  </si>
  <si>
    <t xml:space="preserve">PORTRA 160 35mm propack 5</t>
  </si>
  <si>
    <t xml:space="preserve">1710516</t>
  </si>
  <si>
    <t xml:space="preserve">PORTRA 160 4x5 10sh</t>
  </si>
  <si>
    <t xml:space="preserve">6031678</t>
  </si>
  <si>
    <t xml:space="preserve">PORTRA 400 35mm propack 5</t>
  </si>
  <si>
    <t xml:space="preserve">8331506</t>
  </si>
  <si>
    <t xml:space="preserve">PORTRA 400 120 propack 5</t>
  </si>
  <si>
    <t xml:space="preserve">OUT OF STOCK - SELLING</t>
  </si>
  <si>
    <t xml:space="preserve">8127946</t>
  </si>
  <si>
    <t xml:space="preserve">PORTRA 800 120 propack 5</t>
  </si>
  <si>
    <t xml:space="preserve">1451855</t>
  </si>
  <si>
    <t xml:space="preserve">PORTRA 800 35mm</t>
  </si>
  <si>
    <t xml:space="preserve">6034466</t>
  </si>
  <si>
    <t xml:space="preserve">PROIMAGE 100 35mm 5-pack</t>
  </si>
  <si>
    <t xml:space="preserve">8004707</t>
  </si>
  <si>
    <t xml:space="preserve">Sport Disposable 27exp</t>
  </si>
  <si>
    <t xml:space="preserve">1006881</t>
  </si>
  <si>
    <t xml:space="preserve">TRI-X 320 4x5 10sh</t>
  </si>
  <si>
    <t xml:space="preserve">7518285</t>
  </si>
  <si>
    <t xml:space="preserve">Ultra Max 400 35mm</t>
  </si>
  <si>
    <t xml:space="preserve">8572273</t>
  </si>
  <si>
    <t xml:space="preserve">T-MAX 100 120 propack 5</t>
  </si>
  <si>
    <t xml:space="preserve">8532848</t>
  </si>
  <si>
    <t xml:space="preserve">T-MAX 100 35mm</t>
  </si>
  <si>
    <t xml:space="preserve">8568214</t>
  </si>
  <si>
    <t xml:space="preserve">T-MAX 400 120 propack 5</t>
  </si>
  <si>
    <t xml:space="preserve">8947947</t>
  </si>
  <si>
    <t xml:space="preserve">T-MAX 400 35mm</t>
  </si>
  <si>
    <t xml:space="preserve">1516798</t>
  </si>
  <si>
    <t xml:space="preserve">T-MAX P3200 35mm</t>
  </si>
  <si>
    <t xml:space="preserve">7518558</t>
  </si>
  <si>
    <t xml:space="preserve">Tri-X 400 120 propack 5</t>
  </si>
  <si>
    <t xml:space="preserve">7518509</t>
  </si>
  <si>
    <t xml:space="preserve">Tri-X 400 35mm</t>
  </si>
  <si>
    <t xml:space="preserve">1884576</t>
  </si>
  <si>
    <t xml:space="preserve">EKTACHROME E100 35mm</t>
  </si>
  <si>
    <t xml:space="preserve">8731200</t>
  </si>
  <si>
    <t xml:space="preserve">EKTACHROME E100 120 propack 5</t>
  </si>
  <si>
    <t xml:space="preserve">8960312</t>
  </si>
  <si>
    <t xml:space="preserve">EKTACHROME E100 4x5</t>
  </si>
  <si>
    <t xml:space="preserve">7510472</t>
  </si>
  <si>
    <t xml:space="preserve">VISION3 500T Super 8</t>
  </si>
  <si>
    <t xml:space="preserve">7510878</t>
  </si>
  <si>
    <t xml:space="preserve">VISION3 200T Super 8</t>
  </si>
  <si>
    <t xml:space="preserve">7510951</t>
  </si>
  <si>
    <t xml:space="preserve">VISION3 50D Super 8</t>
  </si>
  <si>
    <t xml:space="preserve">7510514</t>
  </si>
  <si>
    <t xml:space="preserve">VISION3 250D 16mm</t>
  </si>
  <si>
    <t xml:space="preserve">HARMAN &amp; ILFORD</t>
  </si>
  <si>
    <t xml:space="preserve">1176108</t>
  </si>
  <si>
    <t xml:space="preserve">ILFOSOL 3 500ml</t>
  </si>
  <si>
    <t xml:space="preserve">1182094</t>
  </si>
  <si>
    <t xml:space="preserve">PHOENIX 200 35mm</t>
  </si>
  <si>
    <t xml:space="preserve">1182175</t>
  </si>
  <si>
    <t xml:space="preserve">PHOENIX 200 120</t>
  </si>
  <si>
    <t xml:space="preserve">1182193</t>
  </si>
  <si>
    <t xml:space="preserve">PHOENIX II 200 35mm</t>
  </si>
  <si>
    <t xml:space="preserve">1182439</t>
  </si>
  <si>
    <t xml:space="preserve">PHOENIX II 200 120</t>
  </si>
  <si>
    <t xml:space="preserve">1780624</t>
  </si>
  <si>
    <t xml:space="preserve">Delta 100 35mm</t>
  </si>
  <si>
    <t xml:space="preserve">1743399</t>
  </si>
  <si>
    <t xml:space="preserve">Delta 100 120</t>
  </si>
  <si>
    <t xml:space="preserve">1887710</t>
  </si>
  <si>
    <t xml:space="preserve">Delta 3200 35mm</t>
  </si>
  <si>
    <t xml:space="preserve">In Stock - No Sales</t>
  </si>
  <si>
    <t xml:space="preserve">1921535</t>
  </si>
  <si>
    <t xml:space="preserve">Delta 3200 120</t>
  </si>
  <si>
    <t xml:space="preserve">1748192</t>
  </si>
  <si>
    <t xml:space="preserve">Delta 400 35mm</t>
  </si>
  <si>
    <t xml:space="preserve">1780668</t>
  </si>
  <si>
    <t xml:space="preserve">Delta 400 120</t>
  </si>
  <si>
    <t xml:space="preserve">1678169</t>
  </si>
  <si>
    <t xml:space="preserve">FP4+ 120</t>
  </si>
  <si>
    <t xml:space="preserve">1649651</t>
  </si>
  <si>
    <t xml:space="preserve">FP4+ 35mm</t>
  </si>
  <si>
    <t xml:space="preserve">1629017</t>
  </si>
  <si>
    <t xml:space="preserve">HP5+ 120</t>
  </si>
  <si>
    <t xml:space="preserve">1700646</t>
  </si>
  <si>
    <t xml:space="preserve">HP5+ 35mm 24exp</t>
  </si>
  <si>
    <t xml:space="preserve">1574577</t>
  </si>
  <si>
    <t xml:space="preserve">HP5+ 35mm 36exp</t>
  </si>
  <si>
    <t xml:space="preserve">1174168</t>
  </si>
  <si>
    <t xml:space="preserve">HP5+ Single Use Camera</t>
  </si>
  <si>
    <t xml:space="preserve">1180958</t>
  </si>
  <si>
    <t xml:space="preserve">ORTHO+ 35mm</t>
  </si>
  <si>
    <t xml:space="preserve">1180969</t>
  </si>
  <si>
    <t xml:space="preserve">ORTHO+ 120</t>
  </si>
  <si>
    <t xml:space="preserve">1829189</t>
  </si>
  <si>
    <t xml:space="preserve">SFX200 35mm</t>
  </si>
  <si>
    <t xml:space="preserve">1901029</t>
  </si>
  <si>
    <t xml:space="preserve">SFX200 120</t>
  </si>
  <si>
    <t xml:space="preserve">1174202</t>
  </si>
  <si>
    <t xml:space="preserve">XP2 Single Use Camera</t>
  </si>
  <si>
    <t xml:space="preserve">1839575</t>
  </si>
  <si>
    <t xml:space="preserve">XP2S 35mm</t>
  </si>
  <si>
    <t xml:space="preserve">1839649</t>
  </si>
  <si>
    <t xml:space="preserve">XP2S 120</t>
  </si>
  <si>
    <t xml:space="preserve">KENTMERE</t>
  </si>
  <si>
    <t xml:space="preserve">6010465</t>
  </si>
  <si>
    <t xml:space="preserve">Kentmere 100 35mm</t>
  </si>
  <si>
    <t xml:space="preserve">6014817</t>
  </si>
  <si>
    <t xml:space="preserve">Kentmere 100 120</t>
  </si>
  <si>
    <t xml:space="preserve">6015055</t>
  </si>
  <si>
    <t xml:space="preserve">Kentmere 200 35mm</t>
  </si>
  <si>
    <t xml:space="preserve">6015066</t>
  </si>
  <si>
    <t xml:space="preserve">Kentmere 200 120</t>
  </si>
  <si>
    <t xml:space="preserve">6010476</t>
  </si>
  <si>
    <t xml:space="preserve">Kentmere 400 35mm</t>
  </si>
  <si>
    <t xml:space="preserve">6014826</t>
  </si>
  <si>
    <t xml:space="preserve">Kentmere 400 120</t>
  </si>
  <si>
    <t xml:space="preserve">6012599</t>
  </si>
  <si>
    <t xml:space="preserve">Kentmere 400 100ft bulk</t>
  </si>
  <si>
    <t xml:space="preserve">CINESTILL</t>
  </si>
  <si>
    <t xml:space="preserve">CINE800T36exp</t>
  </si>
  <si>
    <t xml:space="preserve">800T 35mm</t>
  </si>
  <si>
    <t xml:space="preserve">CINE800T120</t>
  </si>
  <si>
    <t xml:space="preserve">800T 120</t>
  </si>
  <si>
    <t xml:space="preserve">CINE50D36exp</t>
  </si>
  <si>
    <t xml:space="preserve">50D 35mm</t>
  </si>
  <si>
    <t xml:space="preserve">CINE50D120</t>
  </si>
  <si>
    <t xml:space="preserve">50D 120</t>
  </si>
  <si>
    <t xml:space="preserve">CINE400D36EXP</t>
  </si>
  <si>
    <t xml:space="preserve">400D 35mm</t>
  </si>
  <si>
    <t xml:space="preserve">CINE400D120</t>
  </si>
  <si>
    <t xml:space="preserve">400D 120</t>
  </si>
  <si>
    <t xml:space="preserve">CINEBwXX36exp</t>
  </si>
  <si>
    <t xml:space="preserve">BwXX 35mm</t>
  </si>
  <si>
    <t xml:space="preserve">CINEBwXX120</t>
  </si>
  <si>
    <t xml:space="preserve">BwXX 120</t>
  </si>
  <si>
    <t xml:space="preserve">KODAK CAMERAS</t>
  </si>
  <si>
    <t xml:space="preserve">RK0301</t>
  </si>
  <si>
    <t xml:space="preserve">H35N Striped Black</t>
  </si>
  <si>
    <t xml:space="preserve">RK0302</t>
  </si>
  <si>
    <t xml:space="preserve">H35N Striped Silver</t>
  </si>
  <si>
    <t xml:space="preserve">RK0303</t>
  </si>
  <si>
    <t xml:space="preserve">H35N Striped Green</t>
  </si>
  <si>
    <t xml:space="preserve">RK0304</t>
  </si>
  <si>
    <t xml:space="preserve">H35N Glazed Blue</t>
  </si>
  <si>
    <t xml:space="preserve">RK0305</t>
  </si>
  <si>
    <t xml:space="preserve">H35N Glazed Orange</t>
  </si>
  <si>
    <t xml:space="preserve">RK0306</t>
  </si>
  <si>
    <t xml:space="preserve">H35N Glazed Pink</t>
  </si>
  <si>
    <t xml:space="preserve">RK0320</t>
  </si>
  <si>
    <t xml:space="preserve">H35N Waterproof Case</t>
  </si>
  <si>
    <t xml:space="preserve">FLIC FILM</t>
  </si>
  <si>
    <t xml:space="preserve">FF00908F</t>
  </si>
  <si>
    <t xml:space="preserve">Elektra 100</t>
  </si>
  <si>
    <t xml:space="preserve">FF02056F</t>
  </si>
  <si>
    <t xml:space="preserve">Aurora 400</t>
  </si>
  <si>
    <t xml:space="preserve">FF01486F</t>
  </si>
  <si>
    <t xml:space="preserve">Aurora 800</t>
  </si>
  <si>
    <t xml:space="preserve">SUMMARY</t>
  </si>
  <si>
    <t xml:space="preserve">Total SKUs on List</t>
  </si>
  <si>
    <t xml:space="preserve">SKUs with Stock &gt; 0</t>
  </si>
  <si>
    <t xml:space="preserve">SKUs Out of Stock</t>
  </si>
  <si>
    <t xml:space="preserve">SKUs with Sales (30d)</t>
  </si>
  <si>
    <t xml:space="preserve">Total Units Sold (30d)</t>
  </si>
  <si>
    <t xml:space="preserve">Total Suggested Monthly Order Cost</t>
  </si>
  <si>
    <t xml:space="preserve">Priority</t>
  </si>
  <si>
    <t xml:space="preserve">Stock</t>
  </si>
  <si>
    <t xml:space="preserve">Sold (30d)</t>
  </si>
  <si>
    <t xml:space="preserve">Weekly Vel.</t>
  </si>
  <si>
    <t xml:space="preserve">Monthly Vel.</t>
  </si>
  <si>
    <t xml:space="preserve">Weeks Left</t>
  </si>
  <si>
    <t xml:space="preserve">Suggested Order</t>
  </si>
  <si>
    <t xml:space="preserve">Order Cost</t>
  </si>
  <si>
    <t xml:space="preserve">URGENT</t>
  </si>
  <si>
    <t xml:space="preserve">CRITICAL</t>
  </si>
  <si>
    <t xml:space="preserve">Total Suggested Order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</si>
</sst>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00000"/>
        <bgColor rgb="FF9C00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2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3" t="n">
        <v>23</v>
      </c>
      <c r="E2" s="4" t="n">
        <v>5</v>
      </c>
      <c r="F2" s="5" t="n">
        <v>1.2</v>
      </c>
      <c r="G2" s="5" t="n">
        <v>5.2</v>
      </c>
      <c r="H2" s="5" t="n">
        <v>19.2</v>
      </c>
      <c r="I2" s="6" t="n">
        <v>0</v>
      </c>
      <c r="J2" s="7" t="n">
        <v>7.59</v>
      </c>
      <c r="K2" s="8" t="n">
        <f aca="false">I2*J2</f>
        <v>0</v>
      </c>
      <c r="L2" s="9" t="s">
        <v>15</v>
      </c>
    </row>
    <row r="3" customFormat="false" ht="15" hidden="false" customHeight="false" outlineLevel="0" collapsed="false">
      <c r="A3" s="2" t="s">
        <v>12</v>
      </c>
      <c r="B3" s="2" t="s">
        <v>16</v>
      </c>
      <c r="C3" s="2" t="s">
        <v>17</v>
      </c>
      <c r="D3" s="3" t="n">
        <v>26</v>
      </c>
      <c r="E3" s="4" t="n">
        <v>39</v>
      </c>
      <c r="F3" s="5" t="n">
        <v>9.1</v>
      </c>
      <c r="G3" s="5" t="n">
        <v>39.4</v>
      </c>
      <c r="H3" s="5" t="n">
        <v>2.9</v>
      </c>
      <c r="I3" s="6" t="n">
        <v>13</v>
      </c>
      <c r="J3" s="7" t="n">
        <v>7.59</v>
      </c>
      <c r="K3" s="8" t="n">
        <f aca="false">I3*J3</f>
        <v>98.67</v>
      </c>
      <c r="L3" s="10" t="s">
        <v>18</v>
      </c>
    </row>
    <row r="4" customFormat="false" ht="15" hidden="false" customHeight="false" outlineLevel="0" collapsed="false">
      <c r="A4" s="2" t="s">
        <v>12</v>
      </c>
      <c r="B4" s="2" t="s">
        <v>19</v>
      </c>
      <c r="C4" s="2" t="s">
        <v>20</v>
      </c>
      <c r="D4" s="3" t="n">
        <v>0</v>
      </c>
      <c r="E4" s="4" t="n">
        <v>0</v>
      </c>
      <c r="F4" s="5" t="n">
        <v>0</v>
      </c>
      <c r="G4" s="5" t="n">
        <v>0</v>
      </c>
      <c r="H4" s="11" t="s">
        <v>21</v>
      </c>
      <c r="I4" s="6" t="n">
        <v>0</v>
      </c>
      <c r="J4" s="7" t="n">
        <v>7.59</v>
      </c>
      <c r="K4" s="8" t="n">
        <f aca="false">I4*J4</f>
        <v>0</v>
      </c>
      <c r="L4" s="10" t="s">
        <v>22</v>
      </c>
    </row>
    <row r="5" customFormat="false" ht="15" hidden="false" customHeight="false" outlineLevel="0" collapsed="false">
      <c r="A5" s="2" t="s">
        <v>12</v>
      </c>
      <c r="B5" s="2" t="s">
        <v>23</v>
      </c>
      <c r="C5" s="2" t="s">
        <v>24</v>
      </c>
      <c r="D5" s="3" t="n">
        <v>0</v>
      </c>
      <c r="E5" s="4" t="n">
        <v>0</v>
      </c>
      <c r="F5" s="5" t="n">
        <v>0</v>
      </c>
      <c r="G5" s="5" t="n">
        <v>0</v>
      </c>
      <c r="H5" s="11" t="s">
        <v>21</v>
      </c>
      <c r="I5" s="6" t="n">
        <v>0</v>
      </c>
      <c r="J5" s="7" t="n">
        <v>54.92</v>
      </c>
      <c r="K5" s="8" t="n">
        <f aca="false">I5*J5</f>
        <v>0</v>
      </c>
      <c r="L5" s="10" t="s">
        <v>22</v>
      </c>
    </row>
    <row r="6" customFormat="false" ht="15" hidden="false" customHeight="false" outlineLevel="0" collapsed="false">
      <c r="A6" s="2" t="s">
        <v>12</v>
      </c>
      <c r="B6" s="2" t="s">
        <v>25</v>
      </c>
      <c r="C6" s="2" t="s">
        <v>26</v>
      </c>
      <c r="D6" s="3" t="n">
        <v>0</v>
      </c>
      <c r="E6" s="4" t="n">
        <v>0</v>
      </c>
      <c r="F6" s="5" t="n">
        <v>0</v>
      </c>
      <c r="G6" s="5" t="n">
        <v>0</v>
      </c>
      <c r="H6" s="11" t="s">
        <v>21</v>
      </c>
      <c r="I6" s="6" t="n">
        <v>0</v>
      </c>
      <c r="J6" s="7" t="n">
        <v>13.89</v>
      </c>
      <c r="K6" s="8" t="n">
        <f aca="false">I6*J6</f>
        <v>0</v>
      </c>
      <c r="L6" s="10" t="s">
        <v>22</v>
      </c>
    </row>
    <row r="7" customFormat="false" ht="15" hidden="false" customHeight="false" outlineLevel="0" collapsed="false">
      <c r="A7" s="2" t="s">
        <v>12</v>
      </c>
      <c r="B7" s="2" t="s">
        <v>27</v>
      </c>
      <c r="C7" s="2" t="s">
        <v>28</v>
      </c>
      <c r="D7" s="3" t="n">
        <v>12</v>
      </c>
      <c r="E7" s="4" t="n">
        <v>8</v>
      </c>
      <c r="F7" s="5" t="n">
        <v>1.9</v>
      </c>
      <c r="G7" s="5" t="n">
        <v>8.2</v>
      </c>
      <c r="H7" s="5" t="n">
        <v>6.3</v>
      </c>
      <c r="I7" s="6" t="n">
        <v>0</v>
      </c>
      <c r="J7" s="7" t="n">
        <v>11.91</v>
      </c>
      <c r="K7" s="8" t="n">
        <f aca="false">I7*J7</f>
        <v>0</v>
      </c>
      <c r="L7" s="12" t="s">
        <v>29</v>
      </c>
    </row>
    <row r="8" customFormat="false" ht="15" hidden="false" customHeight="false" outlineLevel="0" collapsed="false">
      <c r="A8" s="2" t="s">
        <v>12</v>
      </c>
      <c r="B8" s="2" t="s">
        <v>30</v>
      </c>
      <c r="C8" s="2" t="s">
        <v>31</v>
      </c>
      <c r="D8" s="3" t="n">
        <v>0</v>
      </c>
      <c r="E8" s="4" t="n">
        <v>0</v>
      </c>
      <c r="F8" s="5" t="n">
        <v>0</v>
      </c>
      <c r="G8" s="5" t="n">
        <v>0</v>
      </c>
      <c r="H8" s="11" t="s">
        <v>21</v>
      </c>
      <c r="I8" s="6" t="n">
        <v>0</v>
      </c>
      <c r="J8" s="7" t="n">
        <v>36.2</v>
      </c>
      <c r="K8" s="8" t="n">
        <f aca="false">I8*J8</f>
        <v>0</v>
      </c>
      <c r="L8" s="10" t="s">
        <v>22</v>
      </c>
    </row>
    <row r="9" customFormat="false" ht="15" hidden="false" customHeight="false" outlineLevel="0" collapsed="false">
      <c r="A9" s="2" t="s">
        <v>12</v>
      </c>
      <c r="B9" s="2" t="s">
        <v>32</v>
      </c>
      <c r="C9" s="2" t="s">
        <v>33</v>
      </c>
      <c r="D9" s="3" t="n">
        <v>0</v>
      </c>
      <c r="E9" s="4" t="n">
        <v>0</v>
      </c>
      <c r="F9" s="5" t="n">
        <v>0</v>
      </c>
      <c r="G9" s="5" t="n">
        <v>0</v>
      </c>
      <c r="H9" s="11" t="s">
        <v>21</v>
      </c>
      <c r="I9" s="6" t="n">
        <v>0</v>
      </c>
      <c r="J9" s="7" t="n">
        <v>7.59</v>
      </c>
      <c r="K9" s="8" t="n">
        <f aca="false">I9*J9</f>
        <v>0</v>
      </c>
      <c r="L9" s="10" t="s">
        <v>22</v>
      </c>
    </row>
    <row r="10" customFormat="false" ht="15" hidden="false" customHeight="false" outlineLevel="0" collapsed="false">
      <c r="A10" s="2" t="s">
        <v>12</v>
      </c>
      <c r="B10" s="2" t="s">
        <v>34</v>
      </c>
      <c r="C10" s="2" t="s">
        <v>35</v>
      </c>
      <c r="D10" s="3" t="n">
        <v>15</v>
      </c>
      <c r="E10" s="4" t="n">
        <v>6</v>
      </c>
      <c r="F10" s="5" t="n">
        <v>1.4</v>
      </c>
      <c r="G10" s="5" t="n">
        <v>6.1</v>
      </c>
      <c r="H10" s="5" t="n">
        <v>10.7</v>
      </c>
      <c r="I10" s="6" t="n">
        <v>0</v>
      </c>
      <c r="J10" s="7" t="n">
        <v>54.92</v>
      </c>
      <c r="K10" s="8" t="n">
        <f aca="false">I10*J10</f>
        <v>0</v>
      </c>
      <c r="L10" s="9" t="s">
        <v>15</v>
      </c>
    </row>
    <row r="11" customFormat="false" ht="15" hidden="false" customHeight="false" outlineLevel="0" collapsed="false">
      <c r="A11" s="2" t="s">
        <v>12</v>
      </c>
      <c r="B11" s="2" t="s">
        <v>36</v>
      </c>
      <c r="C11" s="2" t="s">
        <v>37</v>
      </c>
      <c r="D11" s="3" t="n">
        <v>18</v>
      </c>
      <c r="E11" s="4" t="n">
        <v>13</v>
      </c>
      <c r="F11" s="5" t="n">
        <v>3</v>
      </c>
      <c r="G11" s="5" t="n">
        <v>13</v>
      </c>
      <c r="H11" s="5" t="n">
        <v>6</v>
      </c>
      <c r="I11" s="6" t="n">
        <v>0</v>
      </c>
      <c r="J11" s="7" t="n">
        <v>60.13</v>
      </c>
      <c r="K11" s="8" t="n">
        <f aca="false">I11*J11</f>
        <v>0</v>
      </c>
      <c r="L11" s="12" t="s">
        <v>29</v>
      </c>
    </row>
    <row r="12" customFormat="false" ht="15" hidden="false" customHeight="false" outlineLevel="0" collapsed="false">
      <c r="A12" s="2" t="s">
        <v>12</v>
      </c>
      <c r="B12" s="2" t="s">
        <v>38</v>
      </c>
      <c r="C12" s="2" t="s">
        <v>39</v>
      </c>
      <c r="D12" s="3" t="n">
        <v>0</v>
      </c>
      <c r="E12" s="4" t="n">
        <v>0</v>
      </c>
      <c r="F12" s="5" t="n">
        <v>0</v>
      </c>
      <c r="G12" s="5" t="n">
        <v>0</v>
      </c>
      <c r="H12" s="11" t="s">
        <v>21</v>
      </c>
      <c r="I12" s="6" t="n">
        <v>0</v>
      </c>
      <c r="J12" s="7" t="n">
        <v>65.25</v>
      </c>
      <c r="K12" s="8" t="n">
        <f aca="false">I12*J12</f>
        <v>0</v>
      </c>
      <c r="L12" s="10" t="s">
        <v>22</v>
      </c>
    </row>
    <row r="13" customFormat="false" ht="15" hidden="false" customHeight="false" outlineLevel="0" collapsed="false">
      <c r="A13" s="2" t="s">
        <v>12</v>
      </c>
      <c r="B13" s="2" t="s">
        <v>40</v>
      </c>
      <c r="C13" s="2" t="s">
        <v>41</v>
      </c>
      <c r="D13" s="3" t="n">
        <v>38</v>
      </c>
      <c r="E13" s="4" t="n">
        <v>91</v>
      </c>
      <c r="F13" s="5" t="n">
        <v>21.2</v>
      </c>
      <c r="G13" s="5" t="n">
        <v>91.8</v>
      </c>
      <c r="H13" s="5" t="n">
        <v>1.8</v>
      </c>
      <c r="I13" s="6" t="n">
        <v>54</v>
      </c>
      <c r="J13" s="7" t="n">
        <v>76.76</v>
      </c>
      <c r="K13" s="8" t="n">
        <f aca="false">I13*J13</f>
        <v>4145.04</v>
      </c>
      <c r="L13" s="10" t="s">
        <v>18</v>
      </c>
    </row>
    <row r="14" customFormat="false" ht="15" hidden="false" customHeight="false" outlineLevel="0" collapsed="false">
      <c r="A14" s="2" t="s">
        <v>12</v>
      </c>
      <c r="B14" s="2" t="s">
        <v>42</v>
      </c>
      <c r="C14" s="2" t="s">
        <v>43</v>
      </c>
      <c r="D14" s="3" t="n">
        <v>0</v>
      </c>
      <c r="E14" s="4" t="n">
        <v>18</v>
      </c>
      <c r="F14" s="5" t="n">
        <v>4.2</v>
      </c>
      <c r="G14" s="5" t="n">
        <v>18.2</v>
      </c>
      <c r="H14" s="5" t="n">
        <v>0</v>
      </c>
      <c r="I14" s="6" t="n">
        <v>18</v>
      </c>
      <c r="J14" s="7" t="n">
        <v>69.44</v>
      </c>
      <c r="K14" s="8" t="n">
        <f aca="false">I14*J14</f>
        <v>1249.92</v>
      </c>
      <c r="L14" s="10" t="s">
        <v>44</v>
      </c>
    </row>
    <row r="15" customFormat="false" ht="15" hidden="false" customHeight="false" outlineLevel="0" collapsed="false">
      <c r="A15" s="2" t="s">
        <v>12</v>
      </c>
      <c r="B15" s="2" t="s">
        <v>45</v>
      </c>
      <c r="C15" s="2" t="s">
        <v>46</v>
      </c>
      <c r="D15" s="3" t="n">
        <v>13</v>
      </c>
      <c r="E15" s="4" t="n">
        <v>12</v>
      </c>
      <c r="F15" s="5" t="n">
        <v>2.8</v>
      </c>
      <c r="G15" s="5" t="n">
        <v>12.1</v>
      </c>
      <c r="H15" s="5" t="n">
        <v>4.6</v>
      </c>
      <c r="I15" s="6" t="n">
        <v>0</v>
      </c>
      <c r="J15" s="7" t="n">
        <v>82.05</v>
      </c>
      <c r="K15" s="8" t="n">
        <f aca="false">I15*J15</f>
        <v>0</v>
      </c>
      <c r="L15" s="12" t="s">
        <v>29</v>
      </c>
    </row>
    <row r="16" customFormat="false" ht="15" hidden="false" customHeight="false" outlineLevel="0" collapsed="false">
      <c r="A16" s="2" t="s">
        <v>12</v>
      </c>
      <c r="B16" s="2" t="s">
        <v>47</v>
      </c>
      <c r="C16" s="2" t="s">
        <v>48</v>
      </c>
      <c r="D16" s="3" t="n">
        <v>35</v>
      </c>
      <c r="E16" s="4" t="n">
        <v>62</v>
      </c>
      <c r="F16" s="5" t="n">
        <v>14.5</v>
      </c>
      <c r="G16" s="5" t="n">
        <v>62.8</v>
      </c>
      <c r="H16" s="5" t="n">
        <v>2.4</v>
      </c>
      <c r="I16" s="6" t="n">
        <v>28</v>
      </c>
      <c r="J16" s="7" t="n">
        <v>17.01</v>
      </c>
      <c r="K16" s="8" t="n">
        <f aca="false">I16*J16</f>
        <v>476.28</v>
      </c>
      <c r="L16" s="10" t="s">
        <v>18</v>
      </c>
    </row>
    <row r="17" customFormat="false" ht="15" hidden="false" customHeight="false" outlineLevel="0" collapsed="false">
      <c r="A17" s="2" t="s">
        <v>12</v>
      </c>
      <c r="B17" s="2" t="s">
        <v>49</v>
      </c>
      <c r="C17" s="2" t="s">
        <v>50</v>
      </c>
      <c r="D17" s="3" t="n">
        <v>30</v>
      </c>
      <c r="E17" s="4" t="n">
        <v>9</v>
      </c>
      <c r="F17" s="5" t="n">
        <v>2.1</v>
      </c>
      <c r="G17" s="5" t="n">
        <v>9.1</v>
      </c>
      <c r="H17" s="5" t="n">
        <v>14.3</v>
      </c>
      <c r="I17" s="6" t="n">
        <v>0</v>
      </c>
      <c r="J17" s="7" t="n">
        <v>45.35</v>
      </c>
      <c r="K17" s="8" t="n">
        <f aca="false">I17*J17</f>
        <v>0</v>
      </c>
      <c r="L17" s="9" t="s">
        <v>15</v>
      </c>
    </row>
    <row r="18" customFormat="false" ht="15" hidden="false" customHeight="false" outlineLevel="0" collapsed="false">
      <c r="A18" s="2" t="s">
        <v>12</v>
      </c>
      <c r="B18" s="2" t="s">
        <v>51</v>
      </c>
      <c r="C18" s="2" t="s">
        <v>52</v>
      </c>
      <c r="D18" s="3" t="n">
        <v>0</v>
      </c>
      <c r="E18" s="4" t="n">
        <v>3</v>
      </c>
      <c r="F18" s="5" t="n">
        <v>0.7</v>
      </c>
      <c r="G18" s="5" t="n">
        <v>3</v>
      </c>
      <c r="H18" s="5" t="n">
        <v>0</v>
      </c>
      <c r="I18" s="6" t="n">
        <v>3</v>
      </c>
      <c r="J18" s="7" t="n">
        <v>14.18</v>
      </c>
      <c r="K18" s="8" t="n">
        <f aca="false">I18*J18</f>
        <v>42.54</v>
      </c>
      <c r="L18" s="10" t="s">
        <v>44</v>
      </c>
    </row>
    <row r="19" customFormat="false" ht="15" hidden="false" customHeight="false" outlineLevel="0" collapsed="false">
      <c r="A19" s="2" t="s">
        <v>12</v>
      </c>
      <c r="B19" s="2" t="s">
        <v>53</v>
      </c>
      <c r="C19" s="2" t="s">
        <v>54</v>
      </c>
      <c r="D19" s="3" t="n">
        <v>0</v>
      </c>
      <c r="E19" s="4" t="n">
        <v>0</v>
      </c>
      <c r="F19" s="5" t="n">
        <v>0</v>
      </c>
      <c r="G19" s="5" t="n">
        <v>0</v>
      </c>
      <c r="H19" s="11" t="s">
        <v>21</v>
      </c>
      <c r="I19" s="6" t="n">
        <v>0</v>
      </c>
      <c r="J19" s="7" t="n">
        <v>44.5</v>
      </c>
      <c r="K19" s="8" t="n">
        <f aca="false">I19*J19</f>
        <v>0</v>
      </c>
      <c r="L19" s="10" t="s">
        <v>22</v>
      </c>
    </row>
    <row r="20" customFormat="false" ht="15" hidden="false" customHeight="false" outlineLevel="0" collapsed="false">
      <c r="A20" s="2" t="s">
        <v>12</v>
      </c>
      <c r="B20" s="2" t="s">
        <v>55</v>
      </c>
      <c r="C20" s="2" t="s">
        <v>56</v>
      </c>
      <c r="D20" s="3" t="n">
        <v>0</v>
      </c>
      <c r="E20" s="4" t="n">
        <v>0</v>
      </c>
      <c r="F20" s="5" t="n">
        <v>0</v>
      </c>
      <c r="G20" s="5" t="n">
        <v>0</v>
      </c>
      <c r="H20" s="11" t="s">
        <v>21</v>
      </c>
      <c r="I20" s="6" t="n">
        <v>0</v>
      </c>
      <c r="J20" s="7" t="n">
        <v>8.73</v>
      </c>
      <c r="K20" s="8" t="n">
        <f aca="false">I20*J20</f>
        <v>0</v>
      </c>
      <c r="L20" s="10" t="s">
        <v>22</v>
      </c>
    </row>
    <row r="21" customFormat="false" ht="15" hidden="false" customHeight="false" outlineLevel="0" collapsed="false">
      <c r="A21" s="2" t="s">
        <v>12</v>
      </c>
      <c r="B21" s="2" t="s">
        <v>57</v>
      </c>
      <c r="C21" s="2" t="s">
        <v>58</v>
      </c>
      <c r="D21" s="3" t="n">
        <v>0</v>
      </c>
      <c r="E21" s="4" t="n">
        <v>1</v>
      </c>
      <c r="F21" s="5" t="n">
        <v>0.2</v>
      </c>
      <c r="G21" s="5" t="n">
        <v>0.9</v>
      </c>
      <c r="H21" s="5" t="n">
        <v>0</v>
      </c>
      <c r="I21" s="6" t="n">
        <v>1</v>
      </c>
      <c r="J21" s="7" t="n">
        <v>40.89</v>
      </c>
      <c r="K21" s="8" t="n">
        <f aca="false">I21*J21</f>
        <v>40.89</v>
      </c>
      <c r="L21" s="10" t="s">
        <v>44</v>
      </c>
    </row>
    <row r="22" customFormat="false" ht="15" hidden="false" customHeight="false" outlineLevel="0" collapsed="false">
      <c r="A22" s="2" t="s">
        <v>12</v>
      </c>
      <c r="B22" s="2" t="s">
        <v>59</v>
      </c>
      <c r="C22" s="2" t="s">
        <v>60</v>
      </c>
      <c r="D22" s="3" t="n">
        <v>0</v>
      </c>
      <c r="E22" s="4" t="n">
        <v>0</v>
      </c>
      <c r="F22" s="5" t="n">
        <v>0</v>
      </c>
      <c r="G22" s="5" t="n">
        <v>0</v>
      </c>
      <c r="H22" s="11" t="s">
        <v>21</v>
      </c>
      <c r="I22" s="6" t="n">
        <v>0</v>
      </c>
      <c r="J22" s="7" t="n">
        <v>10.84</v>
      </c>
      <c r="K22" s="8" t="n">
        <f aca="false">I22*J22</f>
        <v>0</v>
      </c>
      <c r="L22" s="10" t="s">
        <v>22</v>
      </c>
    </row>
    <row r="23" customFormat="false" ht="15" hidden="false" customHeight="false" outlineLevel="0" collapsed="false">
      <c r="A23" s="2" t="s">
        <v>12</v>
      </c>
      <c r="B23" s="2" t="s">
        <v>61</v>
      </c>
      <c r="C23" s="2" t="s">
        <v>62</v>
      </c>
      <c r="D23" s="3" t="n">
        <v>0</v>
      </c>
      <c r="E23" s="4" t="n">
        <v>3</v>
      </c>
      <c r="F23" s="5" t="n">
        <v>0.7</v>
      </c>
      <c r="G23" s="5" t="n">
        <v>3</v>
      </c>
      <c r="H23" s="5" t="n">
        <v>0</v>
      </c>
      <c r="I23" s="6" t="n">
        <v>3</v>
      </c>
      <c r="J23" s="7" t="n">
        <v>39.04</v>
      </c>
      <c r="K23" s="8" t="n">
        <f aca="false">I23*J23</f>
        <v>117.12</v>
      </c>
      <c r="L23" s="10" t="s">
        <v>44</v>
      </c>
    </row>
    <row r="24" customFormat="false" ht="15" hidden="false" customHeight="false" outlineLevel="0" collapsed="false">
      <c r="A24" s="2" t="s">
        <v>12</v>
      </c>
      <c r="B24" s="2" t="s">
        <v>63</v>
      </c>
      <c r="C24" s="2" t="s">
        <v>64</v>
      </c>
      <c r="D24" s="3" t="n">
        <v>12</v>
      </c>
      <c r="E24" s="4" t="n">
        <v>17</v>
      </c>
      <c r="F24" s="5" t="n">
        <v>4</v>
      </c>
      <c r="G24" s="5" t="n">
        <v>17.3</v>
      </c>
      <c r="H24" s="5" t="n">
        <v>3</v>
      </c>
      <c r="I24" s="6" t="n">
        <v>5</v>
      </c>
      <c r="J24" s="7" t="n">
        <v>11.56</v>
      </c>
      <c r="K24" s="8" t="n">
        <f aca="false">I24*J24</f>
        <v>57.8</v>
      </c>
      <c r="L24" s="10" t="s">
        <v>18</v>
      </c>
    </row>
    <row r="25" customFormat="false" ht="15" hidden="false" customHeight="false" outlineLevel="0" collapsed="false">
      <c r="A25" s="2" t="s">
        <v>12</v>
      </c>
      <c r="B25" s="2" t="s">
        <v>65</v>
      </c>
      <c r="C25" s="2" t="s">
        <v>66</v>
      </c>
      <c r="D25" s="3" t="n">
        <v>0</v>
      </c>
      <c r="E25" s="4" t="n">
        <v>0</v>
      </c>
      <c r="F25" s="5" t="n">
        <v>0</v>
      </c>
      <c r="G25" s="5" t="n">
        <v>0</v>
      </c>
      <c r="H25" s="11" t="s">
        <v>21</v>
      </c>
      <c r="I25" s="6" t="n">
        <v>0</v>
      </c>
      <c r="J25" s="7" t="n">
        <v>13.56</v>
      </c>
      <c r="K25" s="8" t="n">
        <f aca="false">I25*J25</f>
        <v>0</v>
      </c>
      <c r="L25" s="10" t="s">
        <v>22</v>
      </c>
    </row>
    <row r="26" customFormat="false" ht="15" hidden="false" customHeight="false" outlineLevel="0" collapsed="false">
      <c r="A26" s="2" t="s">
        <v>12</v>
      </c>
      <c r="B26" s="2" t="s">
        <v>67</v>
      </c>
      <c r="C26" s="2" t="s">
        <v>68</v>
      </c>
      <c r="D26" s="3" t="n">
        <v>0</v>
      </c>
      <c r="E26" s="4" t="n">
        <v>0</v>
      </c>
      <c r="F26" s="5" t="n">
        <v>0</v>
      </c>
      <c r="G26" s="5" t="n">
        <v>0</v>
      </c>
      <c r="H26" s="11" t="s">
        <v>21</v>
      </c>
      <c r="I26" s="6" t="n">
        <v>0</v>
      </c>
      <c r="J26" s="7" t="n">
        <v>39.04</v>
      </c>
      <c r="K26" s="8" t="n">
        <f aca="false">I26*J26</f>
        <v>0</v>
      </c>
      <c r="L26" s="10" t="s">
        <v>22</v>
      </c>
    </row>
    <row r="27" customFormat="false" ht="15" hidden="false" customHeight="false" outlineLevel="0" collapsed="false">
      <c r="A27" s="2" t="s">
        <v>12</v>
      </c>
      <c r="B27" s="2" t="s">
        <v>69</v>
      </c>
      <c r="C27" s="2" t="s">
        <v>70</v>
      </c>
      <c r="D27" s="3" t="n">
        <v>0</v>
      </c>
      <c r="E27" s="4" t="n">
        <v>0</v>
      </c>
      <c r="F27" s="5" t="n">
        <v>0</v>
      </c>
      <c r="G27" s="5" t="n">
        <v>0</v>
      </c>
      <c r="H27" s="11" t="s">
        <v>21</v>
      </c>
      <c r="I27" s="6" t="n">
        <v>0</v>
      </c>
      <c r="J27" s="7" t="n">
        <v>8.33</v>
      </c>
      <c r="K27" s="8" t="n">
        <f aca="false">I27*J27</f>
        <v>0</v>
      </c>
      <c r="L27" s="10" t="s">
        <v>22</v>
      </c>
    </row>
    <row r="28" customFormat="false" ht="15" hidden="false" customHeight="false" outlineLevel="0" collapsed="false">
      <c r="A28" s="2" t="s">
        <v>12</v>
      </c>
      <c r="B28" s="2" t="s">
        <v>71</v>
      </c>
      <c r="C28" s="2" t="s">
        <v>72</v>
      </c>
      <c r="D28" s="3" t="n">
        <v>4</v>
      </c>
      <c r="E28" s="4" t="n">
        <v>5</v>
      </c>
      <c r="F28" s="5" t="n">
        <v>1.2</v>
      </c>
      <c r="G28" s="5" t="n">
        <v>5.2</v>
      </c>
      <c r="H28" s="5" t="n">
        <v>3.3</v>
      </c>
      <c r="I28" s="6" t="n">
        <v>1</v>
      </c>
      <c r="J28" s="7" t="n">
        <v>21.81</v>
      </c>
      <c r="K28" s="8" t="n">
        <f aca="false">I28*J28</f>
        <v>21.81</v>
      </c>
      <c r="L28" s="10" t="s">
        <v>18</v>
      </c>
    </row>
    <row r="29" customFormat="false" ht="15" hidden="false" customHeight="false" outlineLevel="0" collapsed="false">
      <c r="A29" s="2" t="s">
        <v>12</v>
      </c>
      <c r="B29" s="2" t="s">
        <v>73</v>
      </c>
      <c r="C29" s="2" t="s">
        <v>74</v>
      </c>
      <c r="D29" s="3" t="n">
        <v>0</v>
      </c>
      <c r="E29" s="4" t="n">
        <v>3</v>
      </c>
      <c r="F29" s="5" t="n">
        <v>0.7</v>
      </c>
      <c r="G29" s="5" t="n">
        <v>3</v>
      </c>
      <c r="H29" s="5" t="n">
        <v>0</v>
      </c>
      <c r="I29" s="6" t="n">
        <v>3</v>
      </c>
      <c r="J29" s="7" t="n">
        <v>80.81</v>
      </c>
      <c r="K29" s="8" t="n">
        <f aca="false">I29*J29</f>
        <v>242.43</v>
      </c>
      <c r="L29" s="10" t="s">
        <v>44</v>
      </c>
    </row>
    <row r="30" customFormat="false" ht="15" hidden="false" customHeight="false" outlineLevel="0" collapsed="false">
      <c r="A30" s="2" t="s">
        <v>12</v>
      </c>
      <c r="B30" s="2" t="s">
        <v>75</v>
      </c>
      <c r="C30" s="2" t="s">
        <v>76</v>
      </c>
      <c r="D30" s="3" t="n">
        <v>0</v>
      </c>
      <c r="E30" s="4" t="n">
        <v>0</v>
      </c>
      <c r="F30" s="5" t="n">
        <v>0</v>
      </c>
      <c r="G30" s="5" t="n">
        <v>0</v>
      </c>
      <c r="H30" s="11" t="s">
        <v>21</v>
      </c>
      <c r="I30" s="6" t="n">
        <v>0</v>
      </c>
      <c r="J30" s="7" t="n">
        <v>69.81</v>
      </c>
      <c r="K30" s="8" t="n">
        <f aca="false">I30*J30</f>
        <v>0</v>
      </c>
      <c r="L30" s="10" t="s">
        <v>22</v>
      </c>
    </row>
    <row r="31" customFormat="false" ht="15" hidden="false" customHeight="false" outlineLevel="0" collapsed="false">
      <c r="A31" s="2" t="s">
        <v>12</v>
      </c>
      <c r="B31" s="2" t="s">
        <v>77</v>
      </c>
      <c r="C31" s="2" t="s">
        <v>78</v>
      </c>
      <c r="D31" s="3" t="n">
        <v>0</v>
      </c>
      <c r="E31" s="4" t="n">
        <v>0</v>
      </c>
      <c r="F31" s="5" t="n">
        <v>0</v>
      </c>
      <c r="G31" s="5" t="n">
        <v>0</v>
      </c>
      <c r="H31" s="11" t="s">
        <v>21</v>
      </c>
      <c r="I31" s="6" t="n">
        <v>0</v>
      </c>
      <c r="J31" s="7" t="n">
        <v>35.15</v>
      </c>
      <c r="K31" s="8" t="n">
        <f aca="false">I31*J31</f>
        <v>0</v>
      </c>
      <c r="L31" s="10" t="s">
        <v>22</v>
      </c>
    </row>
    <row r="32" customFormat="false" ht="15" hidden="false" customHeight="false" outlineLevel="0" collapsed="false">
      <c r="A32" s="2" t="s">
        <v>12</v>
      </c>
      <c r="B32" s="2" t="s">
        <v>79</v>
      </c>
      <c r="C32" s="2" t="s">
        <v>80</v>
      </c>
      <c r="D32" s="3" t="n">
        <v>0</v>
      </c>
      <c r="E32" s="4" t="n">
        <v>0</v>
      </c>
      <c r="F32" s="5" t="n">
        <v>0</v>
      </c>
      <c r="G32" s="5" t="n">
        <v>0</v>
      </c>
      <c r="H32" s="11" t="s">
        <v>21</v>
      </c>
      <c r="I32" s="6" t="n">
        <v>0</v>
      </c>
      <c r="J32" s="7" t="n">
        <v>35.15</v>
      </c>
      <c r="K32" s="8" t="n">
        <f aca="false">I32*J32</f>
        <v>0</v>
      </c>
      <c r="L32" s="10" t="s">
        <v>22</v>
      </c>
    </row>
    <row r="33" customFormat="false" ht="15" hidden="false" customHeight="false" outlineLevel="0" collapsed="false">
      <c r="A33" s="2" t="s">
        <v>12</v>
      </c>
      <c r="B33" s="2" t="s">
        <v>81</v>
      </c>
      <c r="C33" s="2" t="s">
        <v>82</v>
      </c>
      <c r="D33" s="3" t="n">
        <v>0</v>
      </c>
      <c r="E33" s="4" t="n">
        <v>0</v>
      </c>
      <c r="F33" s="5" t="n">
        <v>0</v>
      </c>
      <c r="G33" s="5" t="n">
        <v>0</v>
      </c>
      <c r="H33" s="11" t="s">
        <v>21</v>
      </c>
      <c r="I33" s="6" t="n">
        <v>0</v>
      </c>
      <c r="J33" s="7" t="n">
        <v>35.15</v>
      </c>
      <c r="K33" s="8" t="n">
        <f aca="false">I33*J33</f>
        <v>0</v>
      </c>
      <c r="L33" s="10" t="s">
        <v>22</v>
      </c>
    </row>
    <row r="34" customFormat="false" ht="15" hidden="false" customHeight="false" outlineLevel="0" collapsed="false">
      <c r="A34" s="2" t="s">
        <v>12</v>
      </c>
      <c r="B34" s="2" t="s">
        <v>83</v>
      </c>
      <c r="C34" s="2" t="s">
        <v>84</v>
      </c>
      <c r="D34" s="3" t="n">
        <v>0</v>
      </c>
      <c r="E34" s="4" t="n">
        <v>0</v>
      </c>
      <c r="F34" s="5" t="n">
        <v>0</v>
      </c>
      <c r="G34" s="5" t="n">
        <v>0</v>
      </c>
      <c r="H34" s="11" t="s">
        <v>21</v>
      </c>
      <c r="I34" s="6" t="n">
        <v>0</v>
      </c>
      <c r="J34" s="7" t="n">
        <v>58.05</v>
      </c>
      <c r="K34" s="8" t="n">
        <f aca="false">I34*J34</f>
        <v>0</v>
      </c>
      <c r="L34" s="10" t="s">
        <v>22</v>
      </c>
    </row>
    <row r="35" customFormat="false" ht="15" hidden="false" customHeight="false" outlineLevel="0" collapsed="false">
      <c r="A35" s="2" t="s">
        <v>85</v>
      </c>
      <c r="B35" s="2" t="s">
        <v>86</v>
      </c>
      <c r="C35" s="2" t="s">
        <v>87</v>
      </c>
      <c r="D35" s="3" t="n">
        <v>0</v>
      </c>
      <c r="E35" s="4" t="n">
        <v>0</v>
      </c>
      <c r="F35" s="5" t="n">
        <v>0</v>
      </c>
      <c r="G35" s="5" t="n">
        <v>0</v>
      </c>
      <c r="H35" s="11" t="s">
        <v>21</v>
      </c>
      <c r="I35" s="6" t="n">
        <v>0</v>
      </c>
      <c r="J35" s="7" t="n">
        <v>15.57</v>
      </c>
      <c r="K35" s="8" t="n">
        <f aca="false">I35*J35</f>
        <v>0</v>
      </c>
      <c r="L35" s="10" t="s">
        <v>22</v>
      </c>
    </row>
    <row r="36" customFormat="false" ht="15" hidden="false" customHeight="false" outlineLevel="0" collapsed="false">
      <c r="A36" s="2" t="s">
        <v>85</v>
      </c>
      <c r="B36" s="2" t="s">
        <v>88</v>
      </c>
      <c r="C36" s="2" t="s">
        <v>89</v>
      </c>
      <c r="D36" s="3" t="n">
        <v>0</v>
      </c>
      <c r="E36" s="4" t="n">
        <v>0</v>
      </c>
      <c r="F36" s="5" t="n">
        <v>0</v>
      </c>
      <c r="G36" s="5" t="n">
        <v>0</v>
      </c>
      <c r="H36" s="11" t="s">
        <v>21</v>
      </c>
      <c r="I36" s="6" t="n">
        <v>0</v>
      </c>
      <c r="J36" s="7" t="n">
        <v>9.66</v>
      </c>
      <c r="K36" s="8" t="n">
        <f aca="false">I36*J36</f>
        <v>0</v>
      </c>
      <c r="L36" s="10" t="s">
        <v>22</v>
      </c>
    </row>
    <row r="37" customFormat="false" ht="15" hidden="false" customHeight="false" outlineLevel="0" collapsed="false">
      <c r="A37" s="2" t="s">
        <v>85</v>
      </c>
      <c r="B37" s="2" t="s">
        <v>90</v>
      </c>
      <c r="C37" s="2" t="s">
        <v>91</v>
      </c>
      <c r="D37" s="3" t="n">
        <v>0</v>
      </c>
      <c r="E37" s="4" t="n">
        <v>0</v>
      </c>
      <c r="F37" s="5" t="n">
        <v>0</v>
      </c>
      <c r="G37" s="5" t="n">
        <v>0</v>
      </c>
      <c r="H37" s="11" t="s">
        <v>21</v>
      </c>
      <c r="I37" s="6" t="n">
        <v>0</v>
      </c>
      <c r="J37" s="7" t="n">
        <v>8.14</v>
      </c>
      <c r="K37" s="8" t="n">
        <f aca="false">I37*J37</f>
        <v>0</v>
      </c>
      <c r="L37" s="10" t="s">
        <v>22</v>
      </c>
    </row>
    <row r="38" customFormat="false" ht="15" hidden="false" customHeight="false" outlineLevel="0" collapsed="false">
      <c r="A38" s="2" t="s">
        <v>85</v>
      </c>
      <c r="B38" s="2" t="s">
        <v>92</v>
      </c>
      <c r="C38" s="2" t="s">
        <v>93</v>
      </c>
      <c r="D38" s="3" t="n">
        <v>0</v>
      </c>
      <c r="E38" s="4" t="n">
        <v>9</v>
      </c>
      <c r="F38" s="5" t="n">
        <v>2.1</v>
      </c>
      <c r="G38" s="5" t="n">
        <v>9.1</v>
      </c>
      <c r="H38" s="5" t="n">
        <v>0</v>
      </c>
      <c r="I38" s="6" t="n">
        <v>9</v>
      </c>
      <c r="J38" s="7" t="n">
        <v>9.66</v>
      </c>
      <c r="K38" s="8" t="n">
        <f aca="false">I38*J38</f>
        <v>86.94</v>
      </c>
      <c r="L38" s="10" t="s">
        <v>44</v>
      </c>
    </row>
    <row r="39" customFormat="false" ht="15" hidden="false" customHeight="false" outlineLevel="0" collapsed="false">
      <c r="A39" s="2" t="s">
        <v>85</v>
      </c>
      <c r="B39" s="2" t="s">
        <v>94</v>
      </c>
      <c r="C39" s="2" t="s">
        <v>95</v>
      </c>
      <c r="D39" s="3" t="n">
        <v>0</v>
      </c>
      <c r="E39" s="4" t="n">
        <v>0</v>
      </c>
      <c r="F39" s="5" t="n">
        <v>0</v>
      </c>
      <c r="G39" s="5" t="n">
        <v>0</v>
      </c>
      <c r="H39" s="11" t="s">
        <v>21</v>
      </c>
      <c r="I39" s="6" t="n">
        <v>0</v>
      </c>
      <c r="J39" s="7" t="n">
        <v>8.14</v>
      </c>
      <c r="K39" s="8" t="n">
        <f aca="false">I39*J39</f>
        <v>0</v>
      </c>
      <c r="L39" s="10" t="s">
        <v>22</v>
      </c>
    </row>
    <row r="40" customFormat="false" ht="15" hidden="false" customHeight="false" outlineLevel="0" collapsed="false">
      <c r="A40" s="2" t="s">
        <v>85</v>
      </c>
      <c r="B40" s="2" t="s">
        <v>96</v>
      </c>
      <c r="C40" s="2" t="s">
        <v>97</v>
      </c>
      <c r="D40" s="3" t="n">
        <v>0</v>
      </c>
      <c r="E40" s="4" t="n">
        <v>3</v>
      </c>
      <c r="F40" s="5" t="n">
        <v>0.7</v>
      </c>
      <c r="G40" s="5" t="n">
        <v>3</v>
      </c>
      <c r="H40" s="5" t="n">
        <v>0</v>
      </c>
      <c r="I40" s="6" t="n">
        <v>3</v>
      </c>
      <c r="J40" s="7" t="n">
        <v>11.28</v>
      </c>
      <c r="K40" s="8" t="n">
        <f aca="false">I40*J40</f>
        <v>33.84</v>
      </c>
      <c r="L40" s="10" t="s">
        <v>44</v>
      </c>
    </row>
    <row r="41" customFormat="false" ht="15" hidden="false" customHeight="false" outlineLevel="0" collapsed="false">
      <c r="A41" s="2" t="s">
        <v>85</v>
      </c>
      <c r="B41" s="2" t="s">
        <v>98</v>
      </c>
      <c r="C41" s="2" t="s">
        <v>99</v>
      </c>
      <c r="D41" s="3" t="n">
        <v>0</v>
      </c>
      <c r="E41" s="4" t="n">
        <v>3</v>
      </c>
      <c r="F41" s="5" t="n">
        <v>0.7</v>
      </c>
      <c r="G41" s="5" t="n">
        <v>3</v>
      </c>
      <c r="H41" s="5" t="n">
        <v>0</v>
      </c>
      <c r="I41" s="6" t="n">
        <v>3</v>
      </c>
      <c r="J41" s="7" t="n">
        <v>8.21</v>
      </c>
      <c r="K41" s="8" t="n">
        <f aca="false">I41*J41</f>
        <v>24.63</v>
      </c>
      <c r="L41" s="10" t="s">
        <v>44</v>
      </c>
    </row>
    <row r="42" customFormat="false" ht="15" hidden="false" customHeight="false" outlineLevel="0" collapsed="false">
      <c r="A42" s="2" t="s">
        <v>85</v>
      </c>
      <c r="B42" s="2" t="s">
        <v>100</v>
      </c>
      <c r="C42" s="2" t="s">
        <v>101</v>
      </c>
      <c r="D42" s="3" t="n">
        <v>30</v>
      </c>
      <c r="E42" s="4" t="n">
        <v>0</v>
      </c>
      <c r="F42" s="5" t="n">
        <v>0</v>
      </c>
      <c r="G42" s="5" t="n">
        <v>0</v>
      </c>
      <c r="H42" s="11" t="s">
        <v>21</v>
      </c>
      <c r="I42" s="6" t="n">
        <v>0</v>
      </c>
      <c r="J42" s="7" t="n">
        <v>13.07</v>
      </c>
      <c r="K42" s="8" t="n">
        <f aca="false">I42*J42</f>
        <v>0</v>
      </c>
      <c r="L42" s="11" t="s">
        <v>102</v>
      </c>
    </row>
    <row r="43" customFormat="false" ht="15" hidden="false" customHeight="false" outlineLevel="0" collapsed="false">
      <c r="A43" s="2" t="s">
        <v>85</v>
      </c>
      <c r="B43" s="2" t="s">
        <v>103</v>
      </c>
      <c r="C43" s="2" t="s">
        <v>104</v>
      </c>
      <c r="D43" s="3" t="n">
        <v>0</v>
      </c>
      <c r="E43" s="4" t="n">
        <v>0</v>
      </c>
      <c r="F43" s="5" t="n">
        <v>0</v>
      </c>
      <c r="G43" s="5" t="n">
        <v>0</v>
      </c>
      <c r="H43" s="11" t="s">
        <v>21</v>
      </c>
      <c r="I43" s="6" t="n">
        <v>0</v>
      </c>
      <c r="J43" s="7" t="n">
        <v>9.34</v>
      </c>
      <c r="K43" s="8" t="n">
        <f aca="false">I43*J43</f>
        <v>0</v>
      </c>
      <c r="L43" s="10" t="s">
        <v>22</v>
      </c>
    </row>
    <row r="44" customFormat="false" ht="15" hidden="false" customHeight="false" outlineLevel="0" collapsed="false">
      <c r="A44" s="2" t="s">
        <v>85</v>
      </c>
      <c r="B44" s="2" t="s">
        <v>105</v>
      </c>
      <c r="C44" s="2" t="s">
        <v>106</v>
      </c>
      <c r="D44" s="3" t="n">
        <v>0</v>
      </c>
      <c r="E44" s="4" t="n">
        <v>1</v>
      </c>
      <c r="F44" s="5" t="n">
        <v>0.2</v>
      </c>
      <c r="G44" s="5" t="n">
        <v>0.9</v>
      </c>
      <c r="H44" s="5" t="n">
        <v>0</v>
      </c>
      <c r="I44" s="6" t="n">
        <v>1</v>
      </c>
      <c r="J44" s="7" t="n">
        <v>11.28</v>
      </c>
      <c r="K44" s="8" t="n">
        <f aca="false">I44*J44</f>
        <v>11.28</v>
      </c>
      <c r="L44" s="10" t="s">
        <v>44</v>
      </c>
    </row>
    <row r="45" customFormat="false" ht="15" hidden="false" customHeight="false" outlineLevel="0" collapsed="false">
      <c r="A45" s="2" t="s">
        <v>85</v>
      </c>
      <c r="B45" s="2" t="s">
        <v>107</v>
      </c>
      <c r="C45" s="2" t="s">
        <v>108</v>
      </c>
      <c r="D45" s="3" t="n">
        <v>0</v>
      </c>
      <c r="E45" s="4" t="n">
        <v>0</v>
      </c>
      <c r="F45" s="5" t="n">
        <v>0</v>
      </c>
      <c r="G45" s="5" t="n">
        <v>0</v>
      </c>
      <c r="H45" s="11" t="s">
        <v>21</v>
      </c>
      <c r="I45" s="6" t="n">
        <v>0</v>
      </c>
      <c r="J45" s="7" t="n">
        <v>8.71</v>
      </c>
      <c r="K45" s="8" t="n">
        <f aca="false">I45*J45</f>
        <v>0</v>
      </c>
      <c r="L45" s="10" t="s">
        <v>22</v>
      </c>
    </row>
    <row r="46" customFormat="false" ht="15" hidden="false" customHeight="false" outlineLevel="0" collapsed="false">
      <c r="A46" s="2" t="s">
        <v>85</v>
      </c>
      <c r="B46" s="2" t="s">
        <v>109</v>
      </c>
      <c r="C46" s="2" t="s">
        <v>110</v>
      </c>
      <c r="D46" s="3" t="n">
        <v>0</v>
      </c>
      <c r="E46" s="4" t="n">
        <v>5</v>
      </c>
      <c r="F46" s="5" t="n">
        <v>1.2</v>
      </c>
      <c r="G46" s="5" t="n">
        <v>5.2</v>
      </c>
      <c r="H46" s="5" t="n">
        <v>0</v>
      </c>
      <c r="I46" s="6" t="n">
        <v>5</v>
      </c>
      <c r="J46" s="7" t="n">
        <v>7.88</v>
      </c>
      <c r="K46" s="8" t="n">
        <f aca="false">I46*J46</f>
        <v>39.4</v>
      </c>
      <c r="L46" s="10" t="s">
        <v>44</v>
      </c>
    </row>
    <row r="47" customFormat="false" ht="15" hidden="false" customHeight="false" outlineLevel="0" collapsed="false">
      <c r="A47" s="2" t="s">
        <v>85</v>
      </c>
      <c r="B47" s="2" t="s">
        <v>111</v>
      </c>
      <c r="C47" s="2" t="s">
        <v>112</v>
      </c>
      <c r="D47" s="3" t="n">
        <v>17</v>
      </c>
      <c r="E47" s="4" t="n">
        <v>5</v>
      </c>
      <c r="F47" s="5" t="n">
        <v>1.2</v>
      </c>
      <c r="G47" s="5" t="n">
        <v>5.2</v>
      </c>
      <c r="H47" s="5" t="n">
        <v>14.2</v>
      </c>
      <c r="I47" s="6" t="n">
        <v>0</v>
      </c>
      <c r="J47" s="7" t="n">
        <v>8.43</v>
      </c>
      <c r="K47" s="8" t="n">
        <f aca="false">I47*J47</f>
        <v>0</v>
      </c>
      <c r="L47" s="9" t="s">
        <v>15</v>
      </c>
    </row>
    <row r="48" customFormat="false" ht="15" hidden="false" customHeight="false" outlineLevel="0" collapsed="false">
      <c r="A48" s="2" t="s">
        <v>85</v>
      </c>
      <c r="B48" s="2" t="s">
        <v>113</v>
      </c>
      <c r="C48" s="2" t="s">
        <v>114</v>
      </c>
      <c r="D48" s="3" t="n">
        <v>41</v>
      </c>
      <c r="E48" s="4" t="n">
        <v>4</v>
      </c>
      <c r="F48" s="5" t="n">
        <v>0.9</v>
      </c>
      <c r="G48" s="5" t="n">
        <v>3.9</v>
      </c>
      <c r="H48" s="5" t="n">
        <v>45.6</v>
      </c>
      <c r="I48" s="6" t="n">
        <v>0</v>
      </c>
      <c r="J48" s="7" t="n">
        <v>7.54</v>
      </c>
      <c r="K48" s="8" t="n">
        <f aca="false">I48*J48</f>
        <v>0</v>
      </c>
      <c r="L48" s="9" t="s">
        <v>15</v>
      </c>
    </row>
    <row r="49" customFormat="false" ht="15" hidden="false" customHeight="false" outlineLevel="0" collapsed="false">
      <c r="A49" s="2" t="s">
        <v>85</v>
      </c>
      <c r="B49" s="2" t="s">
        <v>115</v>
      </c>
      <c r="C49" s="2" t="s">
        <v>116</v>
      </c>
      <c r="D49" s="3" t="n">
        <v>9</v>
      </c>
      <c r="E49" s="4" t="n">
        <v>22</v>
      </c>
      <c r="F49" s="5" t="n">
        <v>5.1</v>
      </c>
      <c r="G49" s="5" t="n">
        <v>22.1</v>
      </c>
      <c r="H49" s="5" t="n">
        <v>1.8</v>
      </c>
      <c r="I49" s="6" t="n">
        <v>13</v>
      </c>
      <c r="J49" s="7" t="n">
        <v>7.03</v>
      </c>
      <c r="K49" s="8" t="n">
        <f aca="false">I49*J49</f>
        <v>91.39</v>
      </c>
      <c r="L49" s="10" t="s">
        <v>18</v>
      </c>
    </row>
    <row r="50" customFormat="false" ht="15" hidden="false" customHeight="false" outlineLevel="0" collapsed="false">
      <c r="A50" s="2" t="s">
        <v>85</v>
      </c>
      <c r="B50" s="2" t="s">
        <v>117</v>
      </c>
      <c r="C50" s="2" t="s">
        <v>118</v>
      </c>
      <c r="D50" s="3" t="n">
        <v>11</v>
      </c>
      <c r="E50" s="4" t="n">
        <v>52</v>
      </c>
      <c r="F50" s="5" t="n">
        <v>12.1</v>
      </c>
      <c r="G50" s="5" t="n">
        <v>52.4</v>
      </c>
      <c r="H50" s="5" t="n">
        <v>0.9</v>
      </c>
      <c r="I50" s="6" t="n">
        <v>41</v>
      </c>
      <c r="J50" s="7" t="n">
        <v>7.95</v>
      </c>
      <c r="K50" s="8" t="n">
        <f aca="false">I50*J50</f>
        <v>325.95</v>
      </c>
      <c r="L50" s="10" t="s">
        <v>18</v>
      </c>
    </row>
    <row r="51" customFormat="false" ht="15" hidden="false" customHeight="false" outlineLevel="0" collapsed="false">
      <c r="A51" s="2" t="s">
        <v>85</v>
      </c>
      <c r="B51" s="2" t="s">
        <v>119</v>
      </c>
      <c r="C51" s="2" t="s">
        <v>120</v>
      </c>
      <c r="D51" s="3" t="n">
        <v>0</v>
      </c>
      <c r="E51" s="4" t="n">
        <v>11</v>
      </c>
      <c r="F51" s="5" t="n">
        <v>2.6</v>
      </c>
      <c r="G51" s="5" t="n">
        <v>11.3</v>
      </c>
      <c r="H51" s="5" t="n">
        <v>0</v>
      </c>
      <c r="I51" s="6" t="n">
        <v>11</v>
      </c>
      <c r="J51" s="7" t="n">
        <v>13.92</v>
      </c>
      <c r="K51" s="8" t="n">
        <f aca="false">I51*J51</f>
        <v>153.12</v>
      </c>
      <c r="L51" s="10" t="s">
        <v>44</v>
      </c>
    </row>
    <row r="52" customFormat="false" ht="15" hidden="false" customHeight="false" outlineLevel="0" collapsed="false">
      <c r="A52" s="2" t="s">
        <v>85</v>
      </c>
      <c r="B52" s="2" t="s">
        <v>121</v>
      </c>
      <c r="C52" s="2" t="s">
        <v>122</v>
      </c>
      <c r="D52" s="3" t="n">
        <v>0</v>
      </c>
      <c r="E52" s="4" t="n">
        <v>1</v>
      </c>
      <c r="F52" s="5" t="n">
        <v>0.2</v>
      </c>
      <c r="G52" s="5" t="n">
        <v>0.9</v>
      </c>
      <c r="H52" s="5" t="n">
        <v>0</v>
      </c>
      <c r="I52" s="6" t="n">
        <v>1</v>
      </c>
      <c r="J52" s="7" t="n">
        <v>10.79</v>
      </c>
      <c r="K52" s="8" t="n">
        <f aca="false">I52*J52</f>
        <v>10.79</v>
      </c>
      <c r="L52" s="10" t="s">
        <v>44</v>
      </c>
    </row>
    <row r="53" customFormat="false" ht="15" hidden="false" customHeight="false" outlineLevel="0" collapsed="false">
      <c r="A53" s="2" t="s">
        <v>85</v>
      </c>
      <c r="B53" s="2" t="s">
        <v>123</v>
      </c>
      <c r="C53" s="2" t="s">
        <v>124</v>
      </c>
      <c r="D53" s="3" t="n">
        <v>0</v>
      </c>
      <c r="E53" s="4" t="n">
        <v>0</v>
      </c>
      <c r="F53" s="5" t="n">
        <v>0</v>
      </c>
      <c r="G53" s="5" t="n">
        <v>0</v>
      </c>
      <c r="H53" s="11" t="s">
        <v>21</v>
      </c>
      <c r="I53" s="6" t="n">
        <v>0</v>
      </c>
      <c r="J53" s="7" t="n">
        <v>10.12</v>
      </c>
      <c r="K53" s="8" t="n">
        <f aca="false">I53*J53</f>
        <v>0</v>
      </c>
      <c r="L53" s="10" t="s">
        <v>22</v>
      </c>
    </row>
    <row r="54" customFormat="false" ht="15" hidden="false" customHeight="false" outlineLevel="0" collapsed="false">
      <c r="A54" s="2" t="s">
        <v>85</v>
      </c>
      <c r="B54" s="2" t="s">
        <v>125</v>
      </c>
      <c r="C54" s="2" t="s">
        <v>126</v>
      </c>
      <c r="D54" s="3" t="n">
        <v>0</v>
      </c>
      <c r="E54" s="4" t="n">
        <v>2</v>
      </c>
      <c r="F54" s="5" t="n">
        <v>0.5</v>
      </c>
      <c r="G54" s="5" t="n">
        <v>2.2</v>
      </c>
      <c r="H54" s="5" t="n">
        <v>0</v>
      </c>
      <c r="I54" s="6" t="n">
        <v>2</v>
      </c>
      <c r="J54" s="7" t="n">
        <v>10.57</v>
      </c>
      <c r="K54" s="8" t="n">
        <f aca="false">I54*J54</f>
        <v>21.14</v>
      </c>
      <c r="L54" s="10" t="s">
        <v>44</v>
      </c>
    </row>
    <row r="55" customFormat="false" ht="15" hidden="false" customHeight="false" outlineLevel="0" collapsed="false">
      <c r="A55" s="2" t="s">
        <v>85</v>
      </c>
      <c r="B55" s="2" t="s">
        <v>127</v>
      </c>
      <c r="C55" s="2" t="s">
        <v>128</v>
      </c>
      <c r="D55" s="3" t="n">
        <v>0</v>
      </c>
      <c r="E55" s="4" t="n">
        <v>0</v>
      </c>
      <c r="F55" s="5" t="n">
        <v>0</v>
      </c>
      <c r="G55" s="5" t="n">
        <v>0</v>
      </c>
      <c r="H55" s="11" t="s">
        <v>21</v>
      </c>
      <c r="I55" s="6" t="n">
        <v>0</v>
      </c>
      <c r="J55" s="7" t="n">
        <v>9.56</v>
      </c>
      <c r="K55" s="8" t="n">
        <f aca="false">I55*J55</f>
        <v>0</v>
      </c>
      <c r="L55" s="10" t="s">
        <v>22</v>
      </c>
    </row>
    <row r="56" customFormat="false" ht="15" hidden="false" customHeight="false" outlineLevel="0" collapsed="false">
      <c r="A56" s="2" t="s">
        <v>85</v>
      </c>
      <c r="B56" s="2" t="s">
        <v>129</v>
      </c>
      <c r="C56" s="2" t="s">
        <v>130</v>
      </c>
      <c r="D56" s="3" t="n">
        <v>0</v>
      </c>
      <c r="E56" s="4" t="n">
        <v>0</v>
      </c>
      <c r="F56" s="5" t="n">
        <v>0</v>
      </c>
      <c r="G56" s="5" t="n">
        <v>0</v>
      </c>
      <c r="H56" s="11" t="s">
        <v>21</v>
      </c>
      <c r="I56" s="6" t="n">
        <v>0</v>
      </c>
      <c r="J56" s="7" t="n">
        <v>14.12</v>
      </c>
      <c r="K56" s="8" t="n">
        <f aca="false">I56*J56</f>
        <v>0</v>
      </c>
      <c r="L56" s="10" t="s">
        <v>22</v>
      </c>
    </row>
    <row r="57" customFormat="false" ht="15" hidden="false" customHeight="false" outlineLevel="0" collapsed="false">
      <c r="A57" s="2" t="s">
        <v>85</v>
      </c>
      <c r="B57" s="2" t="s">
        <v>131</v>
      </c>
      <c r="C57" s="2" t="s">
        <v>132</v>
      </c>
      <c r="D57" s="3" t="n">
        <v>28</v>
      </c>
      <c r="E57" s="4" t="n">
        <v>6</v>
      </c>
      <c r="F57" s="5" t="n">
        <v>1.4</v>
      </c>
      <c r="G57" s="5" t="n">
        <v>6.1</v>
      </c>
      <c r="H57" s="5" t="n">
        <v>20</v>
      </c>
      <c r="I57" s="6" t="n">
        <v>0</v>
      </c>
      <c r="J57" s="7" t="n">
        <v>11.53</v>
      </c>
      <c r="K57" s="8" t="n">
        <f aca="false">I57*J57</f>
        <v>0</v>
      </c>
      <c r="L57" s="9" t="s">
        <v>15</v>
      </c>
    </row>
    <row r="58" customFormat="false" ht="15" hidden="false" customHeight="false" outlineLevel="0" collapsed="false">
      <c r="A58" s="2" t="s">
        <v>85</v>
      </c>
      <c r="B58" s="2" t="s">
        <v>133</v>
      </c>
      <c r="C58" s="2" t="s">
        <v>134</v>
      </c>
      <c r="D58" s="3" t="n">
        <v>0</v>
      </c>
      <c r="E58" s="4" t="n">
        <v>0</v>
      </c>
      <c r="F58" s="5" t="n">
        <v>0</v>
      </c>
      <c r="G58" s="5" t="n">
        <v>0</v>
      </c>
      <c r="H58" s="11" t="s">
        <v>21</v>
      </c>
      <c r="I58" s="6" t="n">
        <v>0</v>
      </c>
      <c r="J58" s="7" t="n">
        <v>8.33</v>
      </c>
      <c r="K58" s="8" t="n">
        <f aca="false">I58*J58</f>
        <v>0</v>
      </c>
      <c r="L58" s="10" t="s">
        <v>22</v>
      </c>
    </row>
    <row r="59" customFormat="false" ht="15" hidden="false" customHeight="false" outlineLevel="0" collapsed="false">
      <c r="A59" s="2" t="s">
        <v>135</v>
      </c>
      <c r="B59" s="2" t="s">
        <v>136</v>
      </c>
      <c r="C59" s="2" t="s">
        <v>137</v>
      </c>
      <c r="D59" s="3" t="n">
        <v>39</v>
      </c>
      <c r="E59" s="4" t="n">
        <v>8</v>
      </c>
      <c r="F59" s="5" t="n">
        <v>1.9</v>
      </c>
      <c r="G59" s="5" t="n">
        <v>8.2</v>
      </c>
      <c r="H59" s="5" t="n">
        <v>20.5</v>
      </c>
      <c r="I59" s="6" t="n">
        <v>0</v>
      </c>
      <c r="J59" s="7" t="n">
        <v>5.79</v>
      </c>
      <c r="K59" s="8" t="n">
        <f aca="false">I59*J59</f>
        <v>0</v>
      </c>
      <c r="L59" s="9" t="s">
        <v>15</v>
      </c>
    </row>
    <row r="60" customFormat="false" ht="15" hidden="false" customHeight="false" outlineLevel="0" collapsed="false">
      <c r="A60" s="2" t="s">
        <v>135</v>
      </c>
      <c r="B60" s="2" t="s">
        <v>138</v>
      </c>
      <c r="C60" s="2" t="s">
        <v>139</v>
      </c>
      <c r="D60" s="3" t="n">
        <v>123</v>
      </c>
      <c r="E60" s="4" t="n">
        <v>3</v>
      </c>
      <c r="F60" s="5" t="n">
        <v>0.7</v>
      </c>
      <c r="G60" s="5" t="n">
        <v>3</v>
      </c>
      <c r="H60" s="5" t="n">
        <v>175.7</v>
      </c>
      <c r="I60" s="6" t="n">
        <v>0</v>
      </c>
      <c r="J60" s="7" t="n">
        <v>5.03</v>
      </c>
      <c r="K60" s="8" t="n">
        <f aca="false">I60*J60</f>
        <v>0</v>
      </c>
      <c r="L60" s="9" t="s">
        <v>15</v>
      </c>
    </row>
    <row r="61" customFormat="false" ht="15" hidden="false" customHeight="false" outlineLevel="0" collapsed="false">
      <c r="A61" s="2" t="s">
        <v>135</v>
      </c>
      <c r="B61" s="2" t="s">
        <v>140</v>
      </c>
      <c r="C61" s="2" t="s">
        <v>141</v>
      </c>
      <c r="D61" s="3" t="n">
        <v>0</v>
      </c>
      <c r="E61" s="4" t="n">
        <v>0</v>
      </c>
      <c r="F61" s="5" t="n">
        <v>0</v>
      </c>
      <c r="G61" s="5" t="n">
        <v>0</v>
      </c>
      <c r="H61" s="11" t="s">
        <v>21</v>
      </c>
      <c r="I61" s="6" t="n">
        <v>0</v>
      </c>
      <c r="J61" s="7" t="n">
        <v>5.79</v>
      </c>
      <c r="K61" s="8" t="n">
        <f aca="false">I61*J61</f>
        <v>0</v>
      </c>
      <c r="L61" s="10" t="s">
        <v>22</v>
      </c>
    </row>
    <row r="62" customFormat="false" ht="15" hidden="false" customHeight="false" outlineLevel="0" collapsed="false">
      <c r="A62" s="2" t="s">
        <v>135</v>
      </c>
      <c r="B62" s="2" t="s">
        <v>142</v>
      </c>
      <c r="C62" s="2" t="s">
        <v>143</v>
      </c>
      <c r="D62" s="3" t="n">
        <v>0</v>
      </c>
      <c r="E62" s="4" t="n">
        <v>0</v>
      </c>
      <c r="F62" s="5" t="n">
        <v>0</v>
      </c>
      <c r="G62" s="5" t="n">
        <v>0</v>
      </c>
      <c r="H62" s="11" t="s">
        <v>21</v>
      </c>
      <c r="I62" s="6" t="n">
        <v>0</v>
      </c>
      <c r="J62" s="7" t="n">
        <v>5.03</v>
      </c>
      <c r="K62" s="8" t="n">
        <f aca="false">I62*J62</f>
        <v>0</v>
      </c>
      <c r="L62" s="10" t="s">
        <v>22</v>
      </c>
    </row>
    <row r="63" customFormat="false" ht="15" hidden="false" customHeight="false" outlineLevel="0" collapsed="false">
      <c r="A63" s="2" t="s">
        <v>135</v>
      </c>
      <c r="B63" s="2" t="s">
        <v>144</v>
      </c>
      <c r="C63" s="2" t="s">
        <v>145</v>
      </c>
      <c r="D63" s="3" t="n">
        <v>33</v>
      </c>
      <c r="E63" s="4" t="n">
        <v>17</v>
      </c>
      <c r="F63" s="5" t="n">
        <v>4</v>
      </c>
      <c r="G63" s="5" t="n">
        <v>17.3</v>
      </c>
      <c r="H63" s="5" t="n">
        <v>8.2</v>
      </c>
      <c r="I63" s="6" t="n">
        <v>0</v>
      </c>
      <c r="J63" s="7" t="n">
        <v>5.79</v>
      </c>
      <c r="K63" s="8" t="n">
        <f aca="false">I63*J63</f>
        <v>0</v>
      </c>
      <c r="L63" s="9" t="s">
        <v>15</v>
      </c>
    </row>
    <row r="64" customFormat="false" ht="15" hidden="false" customHeight="false" outlineLevel="0" collapsed="false">
      <c r="A64" s="2" t="s">
        <v>135</v>
      </c>
      <c r="B64" s="2" t="s">
        <v>146</v>
      </c>
      <c r="C64" s="2" t="s">
        <v>147</v>
      </c>
      <c r="D64" s="3" t="n">
        <v>24</v>
      </c>
      <c r="E64" s="4" t="n">
        <v>11</v>
      </c>
      <c r="F64" s="5" t="n">
        <v>2.6</v>
      </c>
      <c r="G64" s="5" t="n">
        <v>11.3</v>
      </c>
      <c r="H64" s="5" t="n">
        <v>9.2</v>
      </c>
      <c r="I64" s="6" t="n">
        <v>0</v>
      </c>
      <c r="J64" s="7" t="n">
        <v>5.03</v>
      </c>
      <c r="K64" s="8" t="n">
        <f aca="false">I64*J64</f>
        <v>0</v>
      </c>
      <c r="L64" s="9" t="s">
        <v>15</v>
      </c>
    </row>
    <row r="65" customFormat="false" ht="15" hidden="false" customHeight="false" outlineLevel="0" collapsed="false">
      <c r="A65" s="2" t="s">
        <v>135</v>
      </c>
      <c r="B65" s="2" t="s">
        <v>148</v>
      </c>
      <c r="C65" s="2" t="s">
        <v>149</v>
      </c>
      <c r="D65" s="3" t="n">
        <v>0</v>
      </c>
      <c r="E65" s="4" t="n">
        <v>0</v>
      </c>
      <c r="F65" s="5" t="n">
        <v>0</v>
      </c>
      <c r="G65" s="5" t="n">
        <v>0</v>
      </c>
      <c r="H65" s="11" t="s">
        <v>21</v>
      </c>
      <c r="I65" s="6" t="n">
        <v>0</v>
      </c>
      <c r="J65" s="7" t="n">
        <v>71.67</v>
      </c>
      <c r="K65" s="8" t="n">
        <f aca="false">I65*J65</f>
        <v>0</v>
      </c>
      <c r="L65" s="10" t="s">
        <v>22</v>
      </c>
    </row>
    <row r="66" customFormat="false" ht="15" hidden="false" customHeight="false" outlineLevel="0" collapsed="false">
      <c r="A66" s="2" t="s">
        <v>150</v>
      </c>
      <c r="B66" s="2" t="s">
        <v>151</v>
      </c>
      <c r="C66" s="2" t="s">
        <v>152</v>
      </c>
      <c r="D66" s="3" t="n">
        <v>32</v>
      </c>
      <c r="E66" s="4" t="n">
        <v>44</v>
      </c>
      <c r="F66" s="5" t="n">
        <v>10.3</v>
      </c>
      <c r="G66" s="5" t="n">
        <v>44.6</v>
      </c>
      <c r="H66" s="5" t="n">
        <v>3.1</v>
      </c>
      <c r="I66" s="6" t="n">
        <v>13</v>
      </c>
      <c r="J66" s="7" t="n">
        <v>13.59</v>
      </c>
      <c r="K66" s="8" t="n">
        <f aca="false">I66*J66</f>
        <v>176.67</v>
      </c>
      <c r="L66" s="10" t="s">
        <v>18</v>
      </c>
    </row>
    <row r="67" customFormat="false" ht="15" hidden="false" customHeight="false" outlineLevel="0" collapsed="false">
      <c r="A67" s="2" t="s">
        <v>150</v>
      </c>
      <c r="B67" s="2" t="s">
        <v>153</v>
      </c>
      <c r="C67" s="2" t="s">
        <v>154</v>
      </c>
      <c r="D67" s="3" t="n">
        <v>35</v>
      </c>
      <c r="E67" s="4" t="n">
        <v>8</v>
      </c>
      <c r="F67" s="5" t="n">
        <v>1.9</v>
      </c>
      <c r="G67" s="5" t="n">
        <v>8.2</v>
      </c>
      <c r="H67" s="5" t="n">
        <v>18.4</v>
      </c>
      <c r="I67" s="6" t="n">
        <v>0</v>
      </c>
      <c r="J67" s="7" t="n">
        <v>13.59</v>
      </c>
      <c r="K67" s="8" t="n">
        <f aca="false">I67*J67</f>
        <v>0</v>
      </c>
      <c r="L67" s="9" t="s">
        <v>15</v>
      </c>
    </row>
    <row r="68" customFormat="false" ht="15" hidden="false" customHeight="false" outlineLevel="0" collapsed="false">
      <c r="A68" s="2" t="s">
        <v>150</v>
      </c>
      <c r="B68" s="2" t="s">
        <v>155</v>
      </c>
      <c r="C68" s="2" t="s">
        <v>156</v>
      </c>
      <c r="D68" s="3" t="n">
        <v>0</v>
      </c>
      <c r="E68" s="4" t="n">
        <v>5</v>
      </c>
      <c r="F68" s="5" t="n">
        <v>1.2</v>
      </c>
      <c r="G68" s="5" t="n">
        <v>5.2</v>
      </c>
      <c r="H68" s="5" t="n">
        <v>0</v>
      </c>
      <c r="I68" s="6" t="n">
        <v>5</v>
      </c>
      <c r="J68" s="7" t="n">
        <v>13.59</v>
      </c>
      <c r="K68" s="8" t="n">
        <f aca="false">I68*J68</f>
        <v>67.95</v>
      </c>
      <c r="L68" s="10" t="s">
        <v>44</v>
      </c>
    </row>
    <row r="69" customFormat="false" ht="15" hidden="false" customHeight="false" outlineLevel="0" collapsed="false">
      <c r="A69" s="2" t="s">
        <v>150</v>
      </c>
      <c r="B69" s="2" t="s">
        <v>157</v>
      </c>
      <c r="C69" s="2" t="s">
        <v>158</v>
      </c>
      <c r="D69" s="3" t="n">
        <v>0</v>
      </c>
      <c r="E69" s="4" t="n">
        <v>1</v>
      </c>
      <c r="F69" s="5" t="n">
        <v>0.2</v>
      </c>
      <c r="G69" s="5" t="n">
        <v>0.9</v>
      </c>
      <c r="H69" s="5" t="n">
        <v>0</v>
      </c>
      <c r="I69" s="6" t="n">
        <v>1</v>
      </c>
      <c r="J69" s="7" t="n">
        <v>13.59</v>
      </c>
      <c r="K69" s="8" t="n">
        <f aca="false">I69*J69</f>
        <v>13.59</v>
      </c>
      <c r="L69" s="10" t="s">
        <v>44</v>
      </c>
    </row>
    <row r="70" customFormat="false" ht="15" hidden="false" customHeight="false" outlineLevel="0" collapsed="false">
      <c r="A70" s="2" t="s">
        <v>150</v>
      </c>
      <c r="B70" s="2" t="s">
        <v>159</v>
      </c>
      <c r="C70" s="2" t="s">
        <v>160</v>
      </c>
      <c r="D70" s="3" t="n">
        <v>43</v>
      </c>
      <c r="E70" s="4" t="n">
        <v>33</v>
      </c>
      <c r="F70" s="5" t="n">
        <v>7.7</v>
      </c>
      <c r="G70" s="5" t="n">
        <v>33.3</v>
      </c>
      <c r="H70" s="5" t="n">
        <v>5.6</v>
      </c>
      <c r="I70" s="6" t="n">
        <v>0</v>
      </c>
      <c r="J70" s="7" t="n">
        <v>13.59</v>
      </c>
      <c r="K70" s="8" t="n">
        <f aca="false">I70*J70</f>
        <v>0</v>
      </c>
      <c r="L70" s="12" t="s">
        <v>29</v>
      </c>
    </row>
    <row r="71" customFormat="false" ht="15" hidden="false" customHeight="false" outlineLevel="0" collapsed="false">
      <c r="A71" s="2" t="s">
        <v>150</v>
      </c>
      <c r="B71" s="2" t="s">
        <v>161</v>
      </c>
      <c r="C71" s="2" t="s">
        <v>162</v>
      </c>
      <c r="D71" s="3" t="n">
        <v>0</v>
      </c>
      <c r="E71" s="4" t="n">
        <v>2</v>
      </c>
      <c r="F71" s="5" t="n">
        <v>0.5</v>
      </c>
      <c r="G71" s="5" t="n">
        <v>2.2</v>
      </c>
      <c r="H71" s="5" t="n">
        <v>0</v>
      </c>
      <c r="I71" s="6" t="n">
        <v>2</v>
      </c>
      <c r="J71" s="7" t="n">
        <v>13.59</v>
      </c>
      <c r="K71" s="8" t="n">
        <f aca="false">I71*J71</f>
        <v>27.18</v>
      </c>
      <c r="L71" s="10" t="s">
        <v>44</v>
      </c>
    </row>
    <row r="72" customFormat="false" ht="15" hidden="false" customHeight="false" outlineLevel="0" collapsed="false">
      <c r="A72" s="2" t="s">
        <v>150</v>
      </c>
      <c r="B72" s="2" t="s">
        <v>163</v>
      </c>
      <c r="C72" s="2" t="s">
        <v>164</v>
      </c>
      <c r="D72" s="3" t="n">
        <v>0</v>
      </c>
      <c r="E72" s="4" t="n">
        <v>0</v>
      </c>
      <c r="F72" s="5" t="n">
        <v>0</v>
      </c>
      <c r="G72" s="5" t="n">
        <v>0</v>
      </c>
      <c r="H72" s="11" t="s">
        <v>21</v>
      </c>
      <c r="I72" s="6" t="n">
        <v>0</v>
      </c>
      <c r="J72" s="7" t="n">
        <v>11.19</v>
      </c>
      <c r="K72" s="8" t="n">
        <f aca="false">I72*J72</f>
        <v>0</v>
      </c>
      <c r="L72" s="10" t="s">
        <v>22</v>
      </c>
    </row>
    <row r="73" customFormat="false" ht="15" hidden="false" customHeight="false" outlineLevel="0" collapsed="false">
      <c r="A73" s="2" t="s">
        <v>150</v>
      </c>
      <c r="B73" s="2" t="s">
        <v>165</v>
      </c>
      <c r="C73" s="2" t="s">
        <v>166</v>
      </c>
      <c r="D73" s="3" t="n">
        <v>0</v>
      </c>
      <c r="E73" s="4" t="n">
        <v>3</v>
      </c>
      <c r="F73" s="5" t="n">
        <v>0.7</v>
      </c>
      <c r="G73" s="5" t="n">
        <v>3</v>
      </c>
      <c r="H73" s="5" t="n">
        <v>0</v>
      </c>
      <c r="I73" s="6" t="n">
        <v>3</v>
      </c>
      <c r="J73" s="7" t="n">
        <v>11.19</v>
      </c>
      <c r="K73" s="8" t="n">
        <f aca="false">I73*J73</f>
        <v>33.57</v>
      </c>
      <c r="L73" s="10" t="s">
        <v>44</v>
      </c>
    </row>
    <row r="74" customFormat="false" ht="15" hidden="false" customHeight="false" outlineLevel="0" collapsed="false">
      <c r="A74" s="2" t="s">
        <v>167</v>
      </c>
      <c r="B74" s="2" t="s">
        <v>168</v>
      </c>
      <c r="C74" s="2" t="s">
        <v>169</v>
      </c>
      <c r="D74" s="3" t="n">
        <v>0</v>
      </c>
      <c r="E74" s="4" t="n">
        <v>0</v>
      </c>
      <c r="F74" s="5" t="n">
        <v>0</v>
      </c>
      <c r="G74" s="5" t="n">
        <v>0</v>
      </c>
      <c r="H74" s="11" t="s">
        <v>21</v>
      </c>
      <c r="I74" s="6" t="n">
        <v>0</v>
      </c>
      <c r="J74" s="7" t="n">
        <v>46</v>
      </c>
      <c r="K74" s="8" t="n">
        <f aca="false">I74*J74</f>
        <v>0</v>
      </c>
      <c r="L74" s="10" t="s">
        <v>22</v>
      </c>
    </row>
    <row r="75" customFormat="false" ht="15" hidden="false" customHeight="false" outlineLevel="0" collapsed="false">
      <c r="A75" s="2" t="s">
        <v>167</v>
      </c>
      <c r="B75" s="2" t="s">
        <v>170</v>
      </c>
      <c r="C75" s="2" t="s">
        <v>171</v>
      </c>
      <c r="D75" s="3" t="n">
        <v>0</v>
      </c>
      <c r="E75" s="4" t="n">
        <v>0</v>
      </c>
      <c r="F75" s="5" t="n">
        <v>0</v>
      </c>
      <c r="G75" s="5" t="n">
        <v>0</v>
      </c>
      <c r="H75" s="11" t="s">
        <v>21</v>
      </c>
      <c r="I75" s="6" t="n">
        <v>0</v>
      </c>
      <c r="J75" s="7" t="n">
        <v>46</v>
      </c>
      <c r="K75" s="8" t="n">
        <f aca="false">I75*J75</f>
        <v>0</v>
      </c>
      <c r="L75" s="10" t="s">
        <v>22</v>
      </c>
    </row>
    <row r="76" customFormat="false" ht="15" hidden="false" customHeight="false" outlineLevel="0" collapsed="false">
      <c r="A76" s="2" t="s">
        <v>167</v>
      </c>
      <c r="B76" s="2" t="s">
        <v>172</v>
      </c>
      <c r="C76" s="2" t="s">
        <v>173</v>
      </c>
      <c r="D76" s="3" t="n">
        <v>0</v>
      </c>
      <c r="E76" s="4" t="n">
        <v>0</v>
      </c>
      <c r="F76" s="5" t="n">
        <v>0</v>
      </c>
      <c r="G76" s="5" t="n">
        <v>0</v>
      </c>
      <c r="H76" s="11" t="s">
        <v>21</v>
      </c>
      <c r="I76" s="6" t="n">
        <v>0</v>
      </c>
      <c r="J76" s="7" t="n">
        <v>46</v>
      </c>
      <c r="K76" s="8" t="n">
        <f aca="false">I76*J76</f>
        <v>0</v>
      </c>
      <c r="L76" s="10" t="s">
        <v>22</v>
      </c>
    </row>
    <row r="77" customFormat="false" ht="15" hidden="false" customHeight="false" outlineLevel="0" collapsed="false">
      <c r="A77" s="2" t="s">
        <v>167</v>
      </c>
      <c r="B77" s="2" t="s">
        <v>174</v>
      </c>
      <c r="C77" s="2" t="s">
        <v>175</v>
      </c>
      <c r="D77" s="3" t="n">
        <v>0</v>
      </c>
      <c r="E77" s="4" t="n">
        <v>0</v>
      </c>
      <c r="F77" s="5" t="n">
        <v>0</v>
      </c>
      <c r="G77" s="5" t="n">
        <v>0</v>
      </c>
      <c r="H77" s="11" t="s">
        <v>21</v>
      </c>
      <c r="I77" s="6" t="n">
        <v>0</v>
      </c>
      <c r="J77" s="7" t="n">
        <v>46</v>
      </c>
      <c r="K77" s="8" t="n">
        <f aca="false">I77*J77</f>
        <v>0</v>
      </c>
      <c r="L77" s="10" t="s">
        <v>22</v>
      </c>
    </row>
    <row r="78" customFormat="false" ht="15" hidden="false" customHeight="false" outlineLevel="0" collapsed="false">
      <c r="A78" s="2" t="s">
        <v>167</v>
      </c>
      <c r="B78" s="2" t="s">
        <v>176</v>
      </c>
      <c r="C78" s="2" t="s">
        <v>177</v>
      </c>
      <c r="D78" s="3" t="n">
        <v>0</v>
      </c>
      <c r="E78" s="4" t="n">
        <v>0</v>
      </c>
      <c r="F78" s="5" t="n">
        <v>0</v>
      </c>
      <c r="G78" s="5" t="n">
        <v>0</v>
      </c>
      <c r="H78" s="11" t="s">
        <v>21</v>
      </c>
      <c r="I78" s="6" t="n">
        <v>0</v>
      </c>
      <c r="J78" s="7" t="n">
        <v>46</v>
      </c>
      <c r="K78" s="8" t="n">
        <f aca="false">I78*J78</f>
        <v>0</v>
      </c>
      <c r="L78" s="10" t="s">
        <v>22</v>
      </c>
    </row>
    <row r="79" customFormat="false" ht="15" hidden="false" customHeight="false" outlineLevel="0" collapsed="false">
      <c r="A79" s="2" t="s">
        <v>167</v>
      </c>
      <c r="B79" s="2" t="s">
        <v>178</v>
      </c>
      <c r="C79" s="2" t="s">
        <v>179</v>
      </c>
      <c r="D79" s="3" t="n">
        <v>0</v>
      </c>
      <c r="E79" s="4" t="n">
        <v>0</v>
      </c>
      <c r="F79" s="5" t="n">
        <v>0</v>
      </c>
      <c r="G79" s="5" t="n">
        <v>0</v>
      </c>
      <c r="H79" s="11" t="s">
        <v>21</v>
      </c>
      <c r="I79" s="6" t="n">
        <v>0</v>
      </c>
      <c r="J79" s="7" t="n">
        <v>46</v>
      </c>
      <c r="K79" s="8" t="n">
        <f aca="false">I79*J79</f>
        <v>0</v>
      </c>
      <c r="L79" s="10" t="s">
        <v>22</v>
      </c>
    </row>
    <row r="80" customFormat="false" ht="15" hidden="false" customHeight="false" outlineLevel="0" collapsed="false">
      <c r="A80" s="2" t="s">
        <v>167</v>
      </c>
      <c r="B80" s="2" t="s">
        <v>180</v>
      </c>
      <c r="C80" s="2" t="s">
        <v>181</v>
      </c>
      <c r="D80" s="3" t="n">
        <v>0</v>
      </c>
      <c r="E80" s="4" t="n">
        <v>0</v>
      </c>
      <c r="F80" s="5" t="n">
        <v>0</v>
      </c>
      <c r="G80" s="5" t="n">
        <v>0</v>
      </c>
      <c r="H80" s="11" t="s">
        <v>21</v>
      </c>
      <c r="I80" s="6" t="n">
        <v>0</v>
      </c>
      <c r="J80" s="7" t="n">
        <v>14.5</v>
      </c>
      <c r="K80" s="8" t="n">
        <f aca="false">I80*J80</f>
        <v>0</v>
      </c>
      <c r="L80" s="10" t="s">
        <v>22</v>
      </c>
    </row>
    <row r="81" customFormat="false" ht="15" hidden="false" customHeight="false" outlineLevel="0" collapsed="false">
      <c r="A81" s="2" t="s">
        <v>182</v>
      </c>
      <c r="B81" s="2" t="s">
        <v>183</v>
      </c>
      <c r="C81" s="2" t="s">
        <v>184</v>
      </c>
      <c r="D81" s="3" t="n">
        <v>12</v>
      </c>
      <c r="E81" s="4" t="n">
        <v>1</v>
      </c>
      <c r="F81" s="5" t="n">
        <v>0.2</v>
      </c>
      <c r="G81" s="5" t="n">
        <v>0.9</v>
      </c>
      <c r="H81" s="5" t="n">
        <v>60</v>
      </c>
      <c r="I81" s="6" t="n">
        <v>0</v>
      </c>
      <c r="J81" s="7" t="n">
        <v>10.04</v>
      </c>
      <c r="K81" s="8" t="n">
        <f aca="false">I81*J81</f>
        <v>0</v>
      </c>
      <c r="L81" s="9" t="s">
        <v>15</v>
      </c>
    </row>
    <row r="82" customFormat="false" ht="15" hidden="false" customHeight="false" outlineLevel="0" collapsed="false">
      <c r="A82" s="2" t="s">
        <v>182</v>
      </c>
      <c r="B82" s="2" t="s">
        <v>185</v>
      </c>
      <c r="C82" s="2" t="s">
        <v>186</v>
      </c>
      <c r="D82" s="3" t="n">
        <v>0</v>
      </c>
      <c r="E82" s="4" t="n">
        <v>1</v>
      </c>
      <c r="F82" s="5" t="n">
        <v>0.2</v>
      </c>
      <c r="G82" s="5" t="n">
        <v>0.9</v>
      </c>
      <c r="H82" s="5" t="n">
        <v>0</v>
      </c>
      <c r="I82" s="6" t="n">
        <v>1</v>
      </c>
      <c r="J82" s="7" t="n">
        <v>11.85</v>
      </c>
      <c r="K82" s="8" t="n">
        <f aca="false">I82*J82</f>
        <v>11.85</v>
      </c>
      <c r="L82" s="10" t="s">
        <v>44</v>
      </c>
    </row>
    <row r="83" customFormat="false" ht="15" hidden="false" customHeight="false" outlineLevel="0" collapsed="false">
      <c r="A83" s="2" t="s">
        <v>182</v>
      </c>
      <c r="B83" s="2" t="s">
        <v>187</v>
      </c>
      <c r="C83" s="2" t="s">
        <v>188</v>
      </c>
      <c r="D83" s="3" t="n">
        <v>0</v>
      </c>
      <c r="E83" s="4" t="n">
        <v>0</v>
      </c>
      <c r="F83" s="5" t="n">
        <v>0</v>
      </c>
      <c r="G83" s="5" t="n">
        <v>0</v>
      </c>
      <c r="H83" s="11" t="s">
        <v>21</v>
      </c>
      <c r="I83" s="6" t="n">
        <v>0</v>
      </c>
      <c r="J83" s="7" t="n">
        <v>12.37</v>
      </c>
      <c r="K83" s="8" t="n">
        <f aca="false">I83*J83</f>
        <v>0</v>
      </c>
      <c r="L83" s="10" t="s">
        <v>22</v>
      </c>
    </row>
    <row r="85" customFormat="false" ht="15" hidden="false" customHeight="false" outlineLevel="0" collapsed="false">
      <c r="A85" s="13" t="s">
        <v>189</v>
      </c>
    </row>
    <row r="86" customFormat="false" ht="15" hidden="false" customHeight="false" outlineLevel="0" collapsed="false">
      <c r="A86" s="14" t="s">
        <v>190</v>
      </c>
      <c r="D86" s="14" t="n">
        <f aca="false">COUNTA(B2:B83)</f>
        <v>82</v>
      </c>
    </row>
    <row r="87" customFormat="false" ht="15" hidden="false" customHeight="false" outlineLevel="0" collapsed="false">
      <c r="A87" s="14" t="s">
        <v>191</v>
      </c>
      <c r="D87" s="14" t="n">
        <f aca="false">COUNTIF(D2:D83,"&gt;0")</f>
        <v>25</v>
      </c>
    </row>
    <row r="88" customFormat="false" ht="15" hidden="false" customHeight="false" outlineLevel="0" collapsed="false">
      <c r="A88" s="14" t="s">
        <v>192</v>
      </c>
      <c r="D88" s="14" t="n">
        <f aca="false">COUNTIF(D2:D83,0)</f>
        <v>57</v>
      </c>
    </row>
    <row r="89" customFormat="false" ht="15" hidden="false" customHeight="false" outlineLevel="0" collapsed="false">
      <c r="A89" s="14" t="s">
        <v>193</v>
      </c>
      <c r="D89" s="14" t="n">
        <f aca="false">COUNTIF(E2:E83,"&gt;0")</f>
        <v>42</v>
      </c>
    </row>
    <row r="90" customFormat="false" ht="15" hidden="false" customHeight="false" outlineLevel="0" collapsed="false">
      <c r="A90" s="14" t="s">
        <v>194</v>
      </c>
      <c r="D90" s="14" t="n">
        <f aca="false">SUM(E2:E83)</f>
        <v>556</v>
      </c>
    </row>
    <row r="91" customFormat="false" ht="15" hidden="false" customHeight="false" outlineLevel="0" collapsed="false">
      <c r="A91" s="14" t="s">
        <v>195</v>
      </c>
      <c r="D91" s="15" t="n">
        <f aca="false">SUM(K2:K83)</f>
        <v>7621.79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34.5" hidden="false" customHeight="true" outlineLevel="0" collapsed="false">
      <c r="A1" s="16" t="s">
        <v>196</v>
      </c>
      <c r="B1" s="16" t="s">
        <v>0</v>
      </c>
      <c r="C1" s="16" t="s">
        <v>1</v>
      </c>
      <c r="D1" s="16" t="s">
        <v>2</v>
      </c>
      <c r="E1" s="16" t="s">
        <v>197</v>
      </c>
      <c r="F1" s="16" t="s">
        <v>198</v>
      </c>
      <c r="G1" s="16" t="s">
        <v>199</v>
      </c>
      <c r="H1" s="16" t="s">
        <v>200</v>
      </c>
      <c r="I1" s="16" t="s">
        <v>201</v>
      </c>
      <c r="J1" s="16" t="s">
        <v>202</v>
      </c>
      <c r="K1" s="16" t="s">
        <v>9</v>
      </c>
      <c r="L1" s="16" t="s">
        <v>203</v>
      </c>
    </row>
    <row r="2" customFormat="false" ht="15" hidden="false" customHeight="false" outlineLevel="0" collapsed="false">
      <c r="A2" s="17" t="s">
        <v>204</v>
      </c>
      <c r="B2" s="2" t="s">
        <v>12</v>
      </c>
      <c r="C2" s="2" t="s">
        <v>42</v>
      </c>
      <c r="D2" s="2" t="s">
        <v>43</v>
      </c>
      <c r="E2" s="3" t="n">
        <v>0</v>
      </c>
      <c r="F2" s="4" t="n">
        <v>18</v>
      </c>
      <c r="G2" s="5" t="n">
        <v>4.2</v>
      </c>
      <c r="H2" s="5" t="n">
        <v>18.2</v>
      </c>
      <c r="I2" s="5" t="n">
        <v>0</v>
      </c>
      <c r="J2" s="6" t="n">
        <v>18</v>
      </c>
      <c r="K2" s="7" t="n">
        <v>69.44</v>
      </c>
      <c r="L2" s="8" t="n">
        <f aca="false">J2*K2</f>
        <v>1249.92</v>
      </c>
    </row>
    <row r="3" customFormat="false" ht="15" hidden="false" customHeight="false" outlineLevel="0" collapsed="false">
      <c r="A3" s="17" t="s">
        <v>204</v>
      </c>
      <c r="B3" s="2" t="s">
        <v>85</v>
      </c>
      <c r="C3" s="2" t="s">
        <v>119</v>
      </c>
      <c r="D3" s="2" t="s">
        <v>120</v>
      </c>
      <c r="E3" s="3" t="n">
        <v>0</v>
      </c>
      <c r="F3" s="4" t="n">
        <v>11</v>
      </c>
      <c r="G3" s="5" t="n">
        <v>2.6</v>
      </c>
      <c r="H3" s="5" t="n">
        <v>11.3</v>
      </c>
      <c r="I3" s="5" t="n">
        <v>0</v>
      </c>
      <c r="J3" s="6" t="n">
        <v>11</v>
      </c>
      <c r="K3" s="7" t="n">
        <v>13.92</v>
      </c>
      <c r="L3" s="8" t="n">
        <f aca="false">J3*K3</f>
        <v>153.12</v>
      </c>
    </row>
    <row r="4" customFormat="false" ht="15" hidden="false" customHeight="false" outlineLevel="0" collapsed="false">
      <c r="A4" s="17" t="s">
        <v>204</v>
      </c>
      <c r="B4" s="2" t="s">
        <v>85</v>
      </c>
      <c r="C4" s="2" t="s">
        <v>92</v>
      </c>
      <c r="D4" s="2" t="s">
        <v>93</v>
      </c>
      <c r="E4" s="3" t="n">
        <v>0</v>
      </c>
      <c r="F4" s="4" t="n">
        <v>9</v>
      </c>
      <c r="G4" s="5" t="n">
        <v>2.1</v>
      </c>
      <c r="H4" s="5" t="n">
        <v>9.1</v>
      </c>
      <c r="I4" s="5" t="n">
        <v>0</v>
      </c>
      <c r="J4" s="6" t="n">
        <v>9</v>
      </c>
      <c r="K4" s="7" t="n">
        <v>9.66</v>
      </c>
      <c r="L4" s="8" t="n">
        <f aca="false">J4*K4</f>
        <v>86.94</v>
      </c>
    </row>
    <row r="5" customFormat="false" ht="15" hidden="false" customHeight="false" outlineLevel="0" collapsed="false">
      <c r="A5" s="17" t="s">
        <v>204</v>
      </c>
      <c r="B5" s="2" t="s">
        <v>85</v>
      </c>
      <c r="C5" s="2" t="s">
        <v>109</v>
      </c>
      <c r="D5" s="2" t="s">
        <v>110</v>
      </c>
      <c r="E5" s="3" t="n">
        <v>0</v>
      </c>
      <c r="F5" s="4" t="n">
        <v>5</v>
      </c>
      <c r="G5" s="5" t="n">
        <v>1.2</v>
      </c>
      <c r="H5" s="5" t="n">
        <v>5.2</v>
      </c>
      <c r="I5" s="5" t="n">
        <v>0</v>
      </c>
      <c r="J5" s="6" t="n">
        <v>5</v>
      </c>
      <c r="K5" s="7" t="n">
        <v>7.88</v>
      </c>
      <c r="L5" s="8" t="n">
        <f aca="false">J5*K5</f>
        <v>39.4</v>
      </c>
    </row>
    <row r="6" customFormat="false" ht="15" hidden="false" customHeight="false" outlineLevel="0" collapsed="false">
      <c r="A6" s="17" t="s">
        <v>204</v>
      </c>
      <c r="B6" s="2" t="s">
        <v>150</v>
      </c>
      <c r="C6" s="2" t="s">
        <v>155</v>
      </c>
      <c r="D6" s="2" t="s">
        <v>156</v>
      </c>
      <c r="E6" s="3" t="n">
        <v>0</v>
      </c>
      <c r="F6" s="4" t="n">
        <v>5</v>
      </c>
      <c r="G6" s="5" t="n">
        <v>1.2</v>
      </c>
      <c r="H6" s="5" t="n">
        <v>5.2</v>
      </c>
      <c r="I6" s="5" t="n">
        <v>0</v>
      </c>
      <c r="J6" s="6" t="n">
        <v>5</v>
      </c>
      <c r="K6" s="7" t="n">
        <v>13.59</v>
      </c>
      <c r="L6" s="8" t="n">
        <f aca="false">J6*K6</f>
        <v>67.95</v>
      </c>
    </row>
    <row r="7" customFormat="false" ht="15" hidden="false" customHeight="false" outlineLevel="0" collapsed="false">
      <c r="A7" s="17" t="s">
        <v>204</v>
      </c>
      <c r="B7" s="2" t="s">
        <v>12</v>
      </c>
      <c r="C7" s="2" t="s">
        <v>51</v>
      </c>
      <c r="D7" s="2" t="s">
        <v>52</v>
      </c>
      <c r="E7" s="3" t="n">
        <v>0</v>
      </c>
      <c r="F7" s="4" t="n">
        <v>3</v>
      </c>
      <c r="G7" s="5" t="n">
        <v>0.7</v>
      </c>
      <c r="H7" s="5" t="n">
        <v>3</v>
      </c>
      <c r="I7" s="5" t="n">
        <v>0</v>
      </c>
      <c r="J7" s="6" t="n">
        <v>3</v>
      </c>
      <c r="K7" s="7" t="n">
        <v>14.18</v>
      </c>
      <c r="L7" s="8" t="n">
        <f aca="false">J7*K7</f>
        <v>42.54</v>
      </c>
    </row>
    <row r="8" customFormat="false" ht="15" hidden="false" customHeight="false" outlineLevel="0" collapsed="false">
      <c r="A8" s="17" t="s">
        <v>204</v>
      </c>
      <c r="B8" s="2" t="s">
        <v>12</v>
      </c>
      <c r="C8" s="2" t="s">
        <v>61</v>
      </c>
      <c r="D8" s="2" t="s">
        <v>62</v>
      </c>
      <c r="E8" s="3" t="n">
        <v>0</v>
      </c>
      <c r="F8" s="4" t="n">
        <v>3</v>
      </c>
      <c r="G8" s="5" t="n">
        <v>0.7</v>
      </c>
      <c r="H8" s="5" t="n">
        <v>3</v>
      </c>
      <c r="I8" s="5" t="n">
        <v>0</v>
      </c>
      <c r="J8" s="6" t="n">
        <v>3</v>
      </c>
      <c r="K8" s="7" t="n">
        <v>39.04</v>
      </c>
      <c r="L8" s="8" t="n">
        <f aca="false">J8*K8</f>
        <v>117.12</v>
      </c>
    </row>
    <row r="9" customFormat="false" ht="15" hidden="false" customHeight="false" outlineLevel="0" collapsed="false">
      <c r="A9" s="17" t="s">
        <v>204</v>
      </c>
      <c r="B9" s="2" t="s">
        <v>12</v>
      </c>
      <c r="C9" s="2" t="s">
        <v>73</v>
      </c>
      <c r="D9" s="2" t="s">
        <v>74</v>
      </c>
      <c r="E9" s="3" t="n">
        <v>0</v>
      </c>
      <c r="F9" s="4" t="n">
        <v>3</v>
      </c>
      <c r="G9" s="5" t="n">
        <v>0.7</v>
      </c>
      <c r="H9" s="5" t="n">
        <v>3</v>
      </c>
      <c r="I9" s="5" t="n">
        <v>0</v>
      </c>
      <c r="J9" s="6" t="n">
        <v>3</v>
      </c>
      <c r="K9" s="7" t="n">
        <v>80.81</v>
      </c>
      <c r="L9" s="8" t="n">
        <f aca="false">J9*K9</f>
        <v>242.43</v>
      </c>
    </row>
    <row r="10" customFormat="false" ht="15" hidden="false" customHeight="false" outlineLevel="0" collapsed="false">
      <c r="A10" s="17" t="s">
        <v>204</v>
      </c>
      <c r="B10" s="2" t="s">
        <v>85</v>
      </c>
      <c r="C10" s="2" t="s">
        <v>96</v>
      </c>
      <c r="D10" s="2" t="s">
        <v>97</v>
      </c>
      <c r="E10" s="3" t="n">
        <v>0</v>
      </c>
      <c r="F10" s="4" t="n">
        <v>3</v>
      </c>
      <c r="G10" s="5" t="n">
        <v>0.7</v>
      </c>
      <c r="H10" s="5" t="n">
        <v>3</v>
      </c>
      <c r="I10" s="5" t="n">
        <v>0</v>
      </c>
      <c r="J10" s="6" t="n">
        <v>3</v>
      </c>
      <c r="K10" s="7" t="n">
        <v>11.28</v>
      </c>
      <c r="L10" s="8" t="n">
        <f aca="false">J10*K10</f>
        <v>33.84</v>
      </c>
    </row>
    <row r="11" customFormat="false" ht="15" hidden="false" customHeight="false" outlineLevel="0" collapsed="false">
      <c r="A11" s="17" t="s">
        <v>204</v>
      </c>
      <c r="B11" s="2" t="s">
        <v>85</v>
      </c>
      <c r="C11" s="2" t="s">
        <v>98</v>
      </c>
      <c r="D11" s="2" t="s">
        <v>99</v>
      </c>
      <c r="E11" s="3" t="n">
        <v>0</v>
      </c>
      <c r="F11" s="4" t="n">
        <v>3</v>
      </c>
      <c r="G11" s="5" t="n">
        <v>0.7</v>
      </c>
      <c r="H11" s="5" t="n">
        <v>3</v>
      </c>
      <c r="I11" s="5" t="n">
        <v>0</v>
      </c>
      <c r="J11" s="6" t="n">
        <v>3</v>
      </c>
      <c r="K11" s="7" t="n">
        <v>8.21</v>
      </c>
      <c r="L11" s="8" t="n">
        <f aca="false">J11*K11</f>
        <v>24.63</v>
      </c>
    </row>
    <row r="12" customFormat="false" ht="15" hidden="false" customHeight="false" outlineLevel="0" collapsed="false">
      <c r="A12" s="17" t="s">
        <v>204</v>
      </c>
      <c r="B12" s="2" t="s">
        <v>150</v>
      </c>
      <c r="C12" s="2" t="s">
        <v>165</v>
      </c>
      <c r="D12" s="2" t="s">
        <v>166</v>
      </c>
      <c r="E12" s="3" t="n">
        <v>0</v>
      </c>
      <c r="F12" s="4" t="n">
        <v>3</v>
      </c>
      <c r="G12" s="5" t="n">
        <v>0.7</v>
      </c>
      <c r="H12" s="5" t="n">
        <v>3</v>
      </c>
      <c r="I12" s="5" t="n">
        <v>0</v>
      </c>
      <c r="J12" s="6" t="n">
        <v>3</v>
      </c>
      <c r="K12" s="7" t="n">
        <v>11.19</v>
      </c>
      <c r="L12" s="8" t="n">
        <f aca="false">J12*K12</f>
        <v>33.57</v>
      </c>
    </row>
    <row r="13" customFormat="false" ht="15" hidden="false" customHeight="false" outlineLevel="0" collapsed="false">
      <c r="A13" s="17" t="s">
        <v>204</v>
      </c>
      <c r="B13" s="2" t="s">
        <v>85</v>
      </c>
      <c r="C13" s="2" t="s">
        <v>125</v>
      </c>
      <c r="D13" s="2" t="s">
        <v>126</v>
      </c>
      <c r="E13" s="3" t="n">
        <v>0</v>
      </c>
      <c r="F13" s="4" t="n">
        <v>2</v>
      </c>
      <c r="G13" s="5" t="n">
        <v>0.5</v>
      </c>
      <c r="H13" s="5" t="n">
        <v>2.2</v>
      </c>
      <c r="I13" s="5" t="n">
        <v>0</v>
      </c>
      <c r="J13" s="6" t="n">
        <v>2</v>
      </c>
      <c r="K13" s="7" t="n">
        <v>10.57</v>
      </c>
      <c r="L13" s="8" t="n">
        <f aca="false">J13*K13</f>
        <v>21.14</v>
      </c>
    </row>
    <row r="14" customFormat="false" ht="15" hidden="false" customHeight="false" outlineLevel="0" collapsed="false">
      <c r="A14" s="17" t="s">
        <v>204</v>
      </c>
      <c r="B14" s="2" t="s">
        <v>150</v>
      </c>
      <c r="C14" s="2" t="s">
        <v>161</v>
      </c>
      <c r="D14" s="2" t="s">
        <v>162</v>
      </c>
      <c r="E14" s="3" t="n">
        <v>0</v>
      </c>
      <c r="F14" s="4" t="n">
        <v>2</v>
      </c>
      <c r="G14" s="5" t="n">
        <v>0.5</v>
      </c>
      <c r="H14" s="5" t="n">
        <v>2.2</v>
      </c>
      <c r="I14" s="5" t="n">
        <v>0</v>
      </c>
      <c r="J14" s="6" t="n">
        <v>2</v>
      </c>
      <c r="K14" s="7" t="n">
        <v>13.59</v>
      </c>
      <c r="L14" s="8" t="n">
        <f aca="false">J14*K14</f>
        <v>27.18</v>
      </c>
    </row>
    <row r="15" customFormat="false" ht="15" hidden="false" customHeight="false" outlineLevel="0" collapsed="false">
      <c r="A15" s="17" t="s">
        <v>204</v>
      </c>
      <c r="B15" s="2" t="s">
        <v>12</v>
      </c>
      <c r="C15" s="2" t="s">
        <v>57</v>
      </c>
      <c r="D15" s="2" t="s">
        <v>58</v>
      </c>
      <c r="E15" s="3" t="n">
        <v>0</v>
      </c>
      <c r="F15" s="4" t="n">
        <v>1</v>
      </c>
      <c r="G15" s="5" t="n">
        <v>0.2</v>
      </c>
      <c r="H15" s="5" t="n">
        <v>0.9</v>
      </c>
      <c r="I15" s="5" t="n">
        <v>0</v>
      </c>
      <c r="J15" s="6" t="n">
        <v>1</v>
      </c>
      <c r="K15" s="7" t="n">
        <v>40.89</v>
      </c>
      <c r="L15" s="8" t="n">
        <f aca="false">J15*K15</f>
        <v>40.89</v>
      </c>
    </row>
    <row r="16" customFormat="false" ht="15" hidden="false" customHeight="false" outlineLevel="0" collapsed="false">
      <c r="A16" s="17" t="s">
        <v>204</v>
      </c>
      <c r="B16" s="2" t="s">
        <v>85</v>
      </c>
      <c r="C16" s="2" t="s">
        <v>105</v>
      </c>
      <c r="D16" s="2" t="s">
        <v>106</v>
      </c>
      <c r="E16" s="3" t="n">
        <v>0</v>
      </c>
      <c r="F16" s="4" t="n">
        <v>1</v>
      </c>
      <c r="G16" s="5" t="n">
        <v>0.2</v>
      </c>
      <c r="H16" s="5" t="n">
        <v>0.9</v>
      </c>
      <c r="I16" s="5" t="n">
        <v>0</v>
      </c>
      <c r="J16" s="6" t="n">
        <v>1</v>
      </c>
      <c r="K16" s="7" t="n">
        <v>11.28</v>
      </c>
      <c r="L16" s="8" t="n">
        <f aca="false">J16*K16</f>
        <v>11.28</v>
      </c>
    </row>
    <row r="17" customFormat="false" ht="15" hidden="false" customHeight="false" outlineLevel="0" collapsed="false">
      <c r="A17" s="17" t="s">
        <v>204</v>
      </c>
      <c r="B17" s="2" t="s">
        <v>85</v>
      </c>
      <c r="C17" s="2" t="s">
        <v>121</v>
      </c>
      <c r="D17" s="2" t="s">
        <v>122</v>
      </c>
      <c r="E17" s="3" t="n">
        <v>0</v>
      </c>
      <c r="F17" s="4" t="n">
        <v>1</v>
      </c>
      <c r="G17" s="5" t="n">
        <v>0.2</v>
      </c>
      <c r="H17" s="5" t="n">
        <v>0.9</v>
      </c>
      <c r="I17" s="5" t="n">
        <v>0</v>
      </c>
      <c r="J17" s="6" t="n">
        <v>1</v>
      </c>
      <c r="K17" s="7" t="n">
        <v>10.79</v>
      </c>
      <c r="L17" s="8" t="n">
        <f aca="false">J17*K17</f>
        <v>10.79</v>
      </c>
    </row>
    <row r="18" customFormat="false" ht="15" hidden="false" customHeight="false" outlineLevel="0" collapsed="false">
      <c r="A18" s="17" t="s">
        <v>204</v>
      </c>
      <c r="B18" s="2" t="s">
        <v>150</v>
      </c>
      <c r="C18" s="2" t="s">
        <v>157</v>
      </c>
      <c r="D18" s="2" t="s">
        <v>158</v>
      </c>
      <c r="E18" s="3" t="n">
        <v>0</v>
      </c>
      <c r="F18" s="4" t="n">
        <v>1</v>
      </c>
      <c r="G18" s="5" t="n">
        <v>0.2</v>
      </c>
      <c r="H18" s="5" t="n">
        <v>0.9</v>
      </c>
      <c r="I18" s="5" t="n">
        <v>0</v>
      </c>
      <c r="J18" s="6" t="n">
        <v>1</v>
      </c>
      <c r="K18" s="7" t="n">
        <v>13.59</v>
      </c>
      <c r="L18" s="8" t="n">
        <f aca="false">J18*K18</f>
        <v>13.59</v>
      </c>
    </row>
    <row r="19" customFormat="false" ht="15" hidden="false" customHeight="false" outlineLevel="0" collapsed="false">
      <c r="A19" s="17" t="s">
        <v>204</v>
      </c>
      <c r="B19" s="2" t="s">
        <v>182</v>
      </c>
      <c r="C19" s="2" t="s">
        <v>185</v>
      </c>
      <c r="D19" s="2" t="s">
        <v>186</v>
      </c>
      <c r="E19" s="3" t="n">
        <v>0</v>
      </c>
      <c r="F19" s="4" t="n">
        <v>1</v>
      </c>
      <c r="G19" s="5" t="n">
        <v>0.2</v>
      </c>
      <c r="H19" s="5" t="n">
        <v>0.9</v>
      </c>
      <c r="I19" s="5" t="n">
        <v>0</v>
      </c>
      <c r="J19" s="6" t="n">
        <v>1</v>
      </c>
      <c r="K19" s="7" t="n">
        <v>11.85</v>
      </c>
      <c r="L19" s="8" t="n">
        <f aca="false">J19*K19</f>
        <v>11.85</v>
      </c>
    </row>
    <row r="20" customFormat="false" ht="15" hidden="false" customHeight="false" outlineLevel="0" collapsed="false">
      <c r="A20" s="18" t="s">
        <v>205</v>
      </c>
      <c r="B20" s="2" t="s">
        <v>12</v>
      </c>
      <c r="C20" s="2" t="s">
        <v>40</v>
      </c>
      <c r="D20" s="2" t="s">
        <v>41</v>
      </c>
      <c r="E20" s="3" t="n">
        <v>38</v>
      </c>
      <c r="F20" s="4" t="n">
        <v>91</v>
      </c>
      <c r="G20" s="5" t="n">
        <v>21.2</v>
      </c>
      <c r="H20" s="5" t="n">
        <v>91.8</v>
      </c>
      <c r="I20" s="5" t="n">
        <v>1.8</v>
      </c>
      <c r="J20" s="6" t="n">
        <v>54</v>
      </c>
      <c r="K20" s="7" t="n">
        <v>76.76</v>
      </c>
      <c r="L20" s="8" t="n">
        <f aca="false">J20*K20</f>
        <v>4145.04</v>
      </c>
    </row>
    <row r="21" customFormat="false" ht="15" hidden="false" customHeight="false" outlineLevel="0" collapsed="false">
      <c r="A21" s="18" t="s">
        <v>205</v>
      </c>
      <c r="B21" s="2" t="s">
        <v>12</v>
      </c>
      <c r="C21" s="2" t="s">
        <v>47</v>
      </c>
      <c r="D21" s="2" t="s">
        <v>48</v>
      </c>
      <c r="E21" s="3" t="n">
        <v>35</v>
      </c>
      <c r="F21" s="4" t="n">
        <v>62</v>
      </c>
      <c r="G21" s="5" t="n">
        <v>14.5</v>
      </c>
      <c r="H21" s="5" t="n">
        <v>62.8</v>
      </c>
      <c r="I21" s="5" t="n">
        <v>2.4</v>
      </c>
      <c r="J21" s="6" t="n">
        <v>28</v>
      </c>
      <c r="K21" s="7" t="n">
        <v>17.01</v>
      </c>
      <c r="L21" s="8" t="n">
        <f aca="false">J21*K21</f>
        <v>476.28</v>
      </c>
    </row>
    <row r="22" customFormat="false" ht="15" hidden="false" customHeight="false" outlineLevel="0" collapsed="false">
      <c r="A22" s="18" t="s">
        <v>205</v>
      </c>
      <c r="B22" s="2" t="s">
        <v>85</v>
      </c>
      <c r="C22" s="2" t="s">
        <v>117</v>
      </c>
      <c r="D22" s="2" t="s">
        <v>118</v>
      </c>
      <c r="E22" s="3" t="n">
        <v>11</v>
      </c>
      <c r="F22" s="4" t="n">
        <v>52</v>
      </c>
      <c r="G22" s="5" t="n">
        <v>12.1</v>
      </c>
      <c r="H22" s="5" t="n">
        <v>52.4</v>
      </c>
      <c r="I22" s="5" t="n">
        <v>0.9</v>
      </c>
      <c r="J22" s="6" t="n">
        <v>41</v>
      </c>
      <c r="K22" s="7" t="n">
        <v>7.95</v>
      </c>
      <c r="L22" s="8" t="n">
        <f aca="false">J22*K22</f>
        <v>325.95</v>
      </c>
    </row>
    <row r="23" customFormat="false" ht="15" hidden="false" customHeight="false" outlineLevel="0" collapsed="false">
      <c r="A23" s="18" t="s">
        <v>205</v>
      </c>
      <c r="B23" s="2" t="s">
        <v>150</v>
      </c>
      <c r="C23" s="2" t="s">
        <v>151</v>
      </c>
      <c r="D23" s="2" t="s">
        <v>152</v>
      </c>
      <c r="E23" s="3" t="n">
        <v>32</v>
      </c>
      <c r="F23" s="4" t="n">
        <v>44</v>
      </c>
      <c r="G23" s="5" t="n">
        <v>10.3</v>
      </c>
      <c r="H23" s="5" t="n">
        <v>44.6</v>
      </c>
      <c r="I23" s="5" t="n">
        <v>3.1</v>
      </c>
      <c r="J23" s="6" t="n">
        <v>13</v>
      </c>
      <c r="K23" s="7" t="n">
        <v>13.59</v>
      </c>
      <c r="L23" s="8" t="n">
        <f aca="false">J23*K23</f>
        <v>176.67</v>
      </c>
    </row>
    <row r="24" customFormat="false" ht="15" hidden="false" customHeight="false" outlineLevel="0" collapsed="false">
      <c r="A24" s="18" t="s">
        <v>205</v>
      </c>
      <c r="B24" s="2" t="s">
        <v>12</v>
      </c>
      <c r="C24" s="2" t="s">
        <v>16</v>
      </c>
      <c r="D24" s="2" t="s">
        <v>17</v>
      </c>
      <c r="E24" s="3" t="n">
        <v>26</v>
      </c>
      <c r="F24" s="4" t="n">
        <v>39</v>
      </c>
      <c r="G24" s="5" t="n">
        <v>9.1</v>
      </c>
      <c r="H24" s="5" t="n">
        <v>39.4</v>
      </c>
      <c r="I24" s="5" t="n">
        <v>2.9</v>
      </c>
      <c r="J24" s="6" t="n">
        <v>13</v>
      </c>
      <c r="K24" s="7" t="n">
        <v>7.59</v>
      </c>
      <c r="L24" s="8" t="n">
        <f aca="false">J24*K24</f>
        <v>98.67</v>
      </c>
    </row>
    <row r="25" customFormat="false" ht="15" hidden="false" customHeight="false" outlineLevel="0" collapsed="false">
      <c r="A25" s="18" t="s">
        <v>205</v>
      </c>
      <c r="B25" s="2" t="s">
        <v>85</v>
      </c>
      <c r="C25" s="2" t="s">
        <v>115</v>
      </c>
      <c r="D25" s="2" t="s">
        <v>116</v>
      </c>
      <c r="E25" s="3" t="n">
        <v>9</v>
      </c>
      <c r="F25" s="4" t="n">
        <v>22</v>
      </c>
      <c r="G25" s="5" t="n">
        <v>5.1</v>
      </c>
      <c r="H25" s="5" t="n">
        <v>22.1</v>
      </c>
      <c r="I25" s="5" t="n">
        <v>1.8</v>
      </c>
      <c r="J25" s="6" t="n">
        <v>13</v>
      </c>
      <c r="K25" s="7" t="n">
        <v>7.03</v>
      </c>
      <c r="L25" s="8" t="n">
        <f aca="false">J25*K25</f>
        <v>91.39</v>
      </c>
    </row>
    <row r="26" customFormat="false" ht="15" hidden="false" customHeight="false" outlineLevel="0" collapsed="false">
      <c r="A26" s="18" t="s">
        <v>205</v>
      </c>
      <c r="B26" s="2" t="s">
        <v>12</v>
      </c>
      <c r="C26" s="2" t="s">
        <v>63</v>
      </c>
      <c r="D26" s="2" t="s">
        <v>64</v>
      </c>
      <c r="E26" s="3" t="n">
        <v>12</v>
      </c>
      <c r="F26" s="4" t="n">
        <v>17</v>
      </c>
      <c r="G26" s="5" t="n">
        <v>4</v>
      </c>
      <c r="H26" s="5" t="n">
        <v>17.3</v>
      </c>
      <c r="I26" s="5" t="n">
        <v>3</v>
      </c>
      <c r="J26" s="6" t="n">
        <v>5</v>
      </c>
      <c r="K26" s="7" t="n">
        <v>11.56</v>
      </c>
      <c r="L26" s="8" t="n">
        <f aca="false">J26*K26</f>
        <v>57.8</v>
      </c>
    </row>
    <row r="27" customFormat="false" ht="15" hidden="false" customHeight="false" outlineLevel="0" collapsed="false">
      <c r="A27" s="18" t="s">
        <v>205</v>
      </c>
      <c r="B27" s="2" t="s">
        <v>12</v>
      </c>
      <c r="C27" s="2" t="s">
        <v>71</v>
      </c>
      <c r="D27" s="2" t="s">
        <v>72</v>
      </c>
      <c r="E27" s="3" t="n">
        <v>4</v>
      </c>
      <c r="F27" s="4" t="n">
        <v>5</v>
      </c>
      <c r="G27" s="5" t="n">
        <v>1.2</v>
      </c>
      <c r="H27" s="5" t="n">
        <v>5.2</v>
      </c>
      <c r="I27" s="5" t="n">
        <v>3.3</v>
      </c>
      <c r="J27" s="6" t="n">
        <v>1</v>
      </c>
      <c r="K27" s="7" t="n">
        <v>21.81</v>
      </c>
      <c r="L27" s="8" t="n">
        <f aca="false">J27*K27</f>
        <v>21.81</v>
      </c>
    </row>
    <row r="29" customFormat="false" ht="15" hidden="false" customHeight="false" outlineLevel="0" collapsed="false">
      <c r="A29" s="14" t="s">
        <v>206</v>
      </c>
      <c r="L29" s="15" t="n">
        <f aca="false">SUM(L2:L27)</f>
        <v>7621.79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2026-03-04T14:30:03Z</dcterms:created>
  <dc:creator>openpyxl</dc:creator>
  <dc:description/>
  <dc:language>en-US</dc:language>
  <cp:lastModifiedBy/>
  <dcterms:modified xsi:type="dcterms:W3CDTF">2026-03-04T14:30:03Z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